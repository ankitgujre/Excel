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3DB8AA6-D9BD-47DD-870B-8E672E0FE850}" xr6:coauthVersionLast="47" xr6:coauthVersionMax="47" xr10:uidLastSave="{00000000-0000-0000-0000-000000000000}"/>
  <bookViews>
    <workbookView xWindow="-108" yWindow="-108" windowWidth="23256" windowHeight="13896" firstSheet="4" activeTab="10" xr2:uid="{E7031663-74BC-4F41-B481-C8EF92FE4458}"/>
  </bookViews>
  <sheets>
    <sheet name="Flash Fill" sheetId="1" r:id="rId1"/>
    <sheet name="Paste Special" sheetId="2" r:id="rId2"/>
    <sheet name="Text To Column" sheetId="3" r:id="rId3"/>
    <sheet name="Fill Series" sheetId="4" r:id="rId4"/>
    <sheet name="formatting" sheetId="6" r:id="rId5"/>
    <sheet name="Sorting" sheetId="7" r:id="rId6"/>
    <sheet name="Filteering" sheetId="8" r:id="rId7"/>
    <sheet name="Arithmatic" sheetId="9" r:id="rId8"/>
    <sheet name="Text Functions" sheetId="10" r:id="rId9"/>
    <sheet name="Logical Functions" sheetId="11" r:id="rId10"/>
    <sheet name="Date and Time Func" sheetId="12" r:id="rId11"/>
  </sheets>
  <definedNames>
    <definedName name="_xlnm._FilterDatabase" localSheetId="6" hidden="1">Filteering!$A$1:$E$20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" i="1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" i="10"/>
  <c r="M4" i="9"/>
  <c r="L4" i="9"/>
  <c r="K4" i="9"/>
  <c r="J4" i="9"/>
  <c r="H3" i="9"/>
  <c r="H4" i="9"/>
  <c r="H5" i="9"/>
  <c r="H6" i="9"/>
  <c r="H2" i="9"/>
  <c r="G3" i="9"/>
  <c r="G4" i="9"/>
  <c r="G5" i="9"/>
  <c r="G6" i="9"/>
  <c r="G2" i="9"/>
  <c r="F3" i="9"/>
  <c r="F4" i="9"/>
  <c r="F5" i="9"/>
  <c r="F6" i="9"/>
  <c r="F2" i="9"/>
  <c r="A1" i="6"/>
  <c r="X7" i="2"/>
  <c r="W7" i="2"/>
  <c r="V7" i="2"/>
  <c r="U7" i="2"/>
  <c r="T7" i="2"/>
  <c r="S7" i="2"/>
  <c r="R7" i="2"/>
  <c r="Q7" i="2"/>
  <c r="P7" i="2"/>
  <c r="O7" i="2"/>
  <c r="L25" i="2"/>
  <c r="L24" i="2"/>
  <c r="L23" i="2"/>
  <c r="L22" i="2"/>
  <c r="L21" i="2"/>
  <c r="L20" i="2"/>
  <c r="L19" i="2"/>
  <c r="L18" i="2"/>
  <c r="L17" i="2"/>
  <c r="L16" i="2"/>
  <c r="L26" i="2" s="1"/>
  <c r="E25" i="2"/>
  <c r="E24" i="2"/>
  <c r="E23" i="2"/>
  <c r="E22" i="2"/>
  <c r="E21" i="2"/>
  <c r="E20" i="2"/>
  <c r="E19" i="2"/>
  <c r="E18" i="2"/>
  <c r="E17" i="2"/>
  <c r="E16" i="2"/>
  <c r="L11" i="2"/>
  <c r="L10" i="2"/>
  <c r="L9" i="2"/>
  <c r="L8" i="2"/>
  <c r="L12" i="2" s="1"/>
  <c r="L7" i="2"/>
  <c r="L6" i="2"/>
  <c r="L5" i="2"/>
  <c r="L4" i="2"/>
  <c r="L3" i="2"/>
  <c r="L2" i="2"/>
  <c r="E3" i="2"/>
  <c r="E12" i="2" s="1"/>
  <c r="E4" i="2"/>
  <c r="E5" i="2"/>
  <c r="E6" i="2"/>
  <c r="E7" i="2"/>
  <c r="E8" i="2"/>
  <c r="E9" i="2"/>
  <c r="E10" i="2"/>
  <c r="E11" i="2"/>
  <c r="E2" i="2"/>
  <c r="E26" i="2" l="1"/>
  <c r="Y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tc={4BE972BF-63EE-4BAE-B5F5-22BBEFE9AA38}</author>
    <author>tc={2517D5E9-003A-405F-A568-242A32BBFFA3}</author>
    <author>tc={2DD3251A-7413-4E9F-AF3F-67932DA98643}</author>
    <author>tc={74407DA6-70E9-4F1F-A1DD-B91DFA7F4F21}</author>
  </authors>
  <commentList>
    <comment ref="A2" authorId="0" shapeId="0" xr:uid="{4BE972BF-63EE-4BAE-B5F5-22BBEFE9AA3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wired mouse</t>
      </text>
    </comment>
    <comment ref="H2" authorId="1" shapeId="0" xr:uid="{2517D5E9-003A-405F-A568-242A32BBFF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wired mouse</t>
      </text>
    </comment>
    <comment ref="O3" authorId="2" shapeId="0" xr:uid="{2DD3251A-7413-4E9F-AF3F-67932DA986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wired mouse</t>
      </text>
    </comment>
    <comment ref="A16" authorId="3" shapeId="0" xr:uid="{74407DA6-70E9-4F1F-A1DD-B91DFA7F4F2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wired mouse</t>
      </text>
    </comment>
  </commentList>
</comments>
</file>

<file path=xl/sharedStrings.xml><?xml version="1.0" encoding="utf-8"?>
<sst xmlns="http://schemas.openxmlformats.org/spreadsheetml/2006/main" count="642" uniqueCount="342">
  <si>
    <t>Mohan</t>
  </si>
  <si>
    <t>Sohan</t>
  </si>
  <si>
    <t>Pooja</t>
  </si>
  <si>
    <t xml:space="preserve">rohan </t>
  </si>
  <si>
    <t>Kavita</t>
  </si>
  <si>
    <t>Suraj</t>
  </si>
  <si>
    <t>Rohit</t>
  </si>
  <si>
    <t>Kumar</t>
  </si>
  <si>
    <t>Prajapati</t>
  </si>
  <si>
    <t>singh</t>
  </si>
  <si>
    <t>sharma</t>
  </si>
  <si>
    <t>chauhan</t>
  </si>
  <si>
    <t>verma</t>
  </si>
  <si>
    <t>nishad</t>
  </si>
  <si>
    <t>Mohan Kumar</t>
  </si>
  <si>
    <t>Sohan Prajapati</t>
  </si>
  <si>
    <t>Pooja singh</t>
  </si>
  <si>
    <t>rohan sharma</t>
  </si>
  <si>
    <t>Kavita chauhan</t>
  </si>
  <si>
    <t>Suraj verma</t>
  </si>
  <si>
    <t>Rohit nishad</t>
  </si>
  <si>
    <t>Shortcut ctrl+E for flash fill</t>
  </si>
  <si>
    <t>first name</t>
  </si>
  <si>
    <t>last name</t>
  </si>
  <si>
    <t>rohan</t>
  </si>
  <si>
    <t>Items Name</t>
  </si>
  <si>
    <t>Sale May</t>
  </si>
  <si>
    <t>Sale Jun</t>
  </si>
  <si>
    <t>Sale July</t>
  </si>
  <si>
    <t>Total Sale</t>
  </si>
  <si>
    <t>Mouse</t>
  </si>
  <si>
    <t>Tab</t>
  </si>
  <si>
    <t>Keyboard</t>
  </si>
  <si>
    <t>Printer</t>
  </si>
  <si>
    <t>Memory</t>
  </si>
  <si>
    <t>Laptop</t>
  </si>
  <si>
    <t>CPU</t>
  </si>
  <si>
    <t>Motherboard</t>
  </si>
  <si>
    <t>Webcam</t>
  </si>
  <si>
    <t>Mic</t>
  </si>
  <si>
    <t>First Name</t>
  </si>
  <si>
    <t>Last Name</t>
  </si>
  <si>
    <t>Afghanistan</t>
  </si>
  <si>
    <t>AF</t>
  </si>
  <si>
    <t>JON YANG</t>
  </si>
  <si>
    <t>JON</t>
  </si>
  <si>
    <t>YANG</t>
  </si>
  <si>
    <t>Aland Islands</t>
  </si>
  <si>
    <t>AX</t>
  </si>
  <si>
    <t>EUGENE HUANG</t>
  </si>
  <si>
    <t>EUGENE</t>
  </si>
  <si>
    <t>HUANG</t>
  </si>
  <si>
    <t>Albania</t>
  </si>
  <si>
    <t>AL</t>
  </si>
  <si>
    <t>RUBEN TORRES</t>
  </si>
  <si>
    <t>RUBEN</t>
  </si>
  <si>
    <t>TORRES</t>
  </si>
  <si>
    <t>Algeria</t>
  </si>
  <si>
    <t>DZ</t>
  </si>
  <si>
    <t>CHRISTY ZHU</t>
  </si>
  <si>
    <t>CHRISTY</t>
  </si>
  <si>
    <t>ZHU</t>
  </si>
  <si>
    <t>American Samoa</t>
  </si>
  <si>
    <t>AS</t>
  </si>
  <si>
    <t>ELIZABETH JOHNSON</t>
  </si>
  <si>
    <t>ELIZABETH</t>
  </si>
  <si>
    <t>JOHNSON</t>
  </si>
  <si>
    <t>Andorra</t>
  </si>
  <si>
    <t>AD</t>
  </si>
  <si>
    <t>JULIO RUIZ</t>
  </si>
  <si>
    <t>JULIO</t>
  </si>
  <si>
    <t>RUIZ</t>
  </si>
  <si>
    <t>Angola</t>
  </si>
  <si>
    <t>AO</t>
  </si>
  <si>
    <t>MARCO MEHTA</t>
  </si>
  <si>
    <t>MARCO</t>
  </si>
  <si>
    <t>MEHTA</t>
  </si>
  <si>
    <t>Anguilla</t>
  </si>
  <si>
    <t>AI</t>
  </si>
  <si>
    <t>ROBIN VERHOFF</t>
  </si>
  <si>
    <t>ROBIN</t>
  </si>
  <si>
    <t>VERHOFF</t>
  </si>
  <si>
    <t>Antarctica</t>
  </si>
  <si>
    <t>AQ</t>
  </si>
  <si>
    <t>SHANNON CARLSON</t>
  </si>
  <si>
    <t>SHANNON</t>
  </si>
  <si>
    <t>CARLSON</t>
  </si>
  <si>
    <t>Antigua And Barbuda</t>
  </si>
  <si>
    <t>AG</t>
  </si>
  <si>
    <t>JACQUEYN SUAREZ</t>
  </si>
  <si>
    <t>JACQUEYN</t>
  </si>
  <si>
    <t>SUAREZ</t>
  </si>
  <si>
    <t>Argentina</t>
  </si>
  <si>
    <t>AR</t>
  </si>
  <si>
    <t>CURTIS LU</t>
  </si>
  <si>
    <t>CURTIS</t>
  </si>
  <si>
    <t>LU</t>
  </si>
  <si>
    <t>Armenia</t>
  </si>
  <si>
    <t>AM</t>
  </si>
  <si>
    <t>LAUREN WALKER</t>
  </si>
  <si>
    <t>LAUREN</t>
  </si>
  <si>
    <t>WALKER</t>
  </si>
  <si>
    <t>Aruba</t>
  </si>
  <si>
    <t>AW</t>
  </si>
  <si>
    <t>IAN JENKINS</t>
  </si>
  <si>
    <t>IAN</t>
  </si>
  <si>
    <t>JENKINS</t>
  </si>
  <si>
    <t>Australia</t>
  </si>
  <si>
    <t>AU</t>
  </si>
  <si>
    <t>SYDNEY BENNETT</t>
  </si>
  <si>
    <t>SYDNEY</t>
  </si>
  <si>
    <t>BENNETT</t>
  </si>
  <si>
    <t>Austria</t>
  </si>
  <si>
    <t>AT</t>
  </si>
  <si>
    <t>CHLOE YOUNG</t>
  </si>
  <si>
    <t>CHLOE</t>
  </si>
  <si>
    <t>YOUNG</t>
  </si>
  <si>
    <t>Azerbaijan</t>
  </si>
  <si>
    <t>AZ</t>
  </si>
  <si>
    <t>WYATT HILL</t>
  </si>
  <si>
    <t>WYATT</t>
  </si>
  <si>
    <t>HILL</t>
  </si>
  <si>
    <t>Bahamas</t>
  </si>
  <si>
    <t>BS</t>
  </si>
  <si>
    <t>SHANNON WANG</t>
  </si>
  <si>
    <t>WANG</t>
  </si>
  <si>
    <t>Bahrain</t>
  </si>
  <si>
    <t>BH</t>
  </si>
  <si>
    <t>CLARENCE RAI</t>
  </si>
  <si>
    <t>CLARENCE</t>
  </si>
  <si>
    <t>RAI</t>
  </si>
  <si>
    <t>Bangladesh</t>
  </si>
  <si>
    <t>BD</t>
  </si>
  <si>
    <t>LUKE LAL</t>
  </si>
  <si>
    <t>LUKE</t>
  </si>
  <si>
    <t>LAL</t>
  </si>
  <si>
    <t>Barbados</t>
  </si>
  <si>
    <t>BB</t>
  </si>
  <si>
    <t>JORDAN KING</t>
  </si>
  <si>
    <t>JORDAN</t>
  </si>
  <si>
    <t>KING</t>
  </si>
  <si>
    <t>Belarus</t>
  </si>
  <si>
    <t>BY</t>
  </si>
  <si>
    <t>DESTINY WILSON</t>
  </si>
  <si>
    <t>DESTINY</t>
  </si>
  <si>
    <t>WILSON</t>
  </si>
  <si>
    <t>Belgium</t>
  </si>
  <si>
    <t>BE</t>
  </si>
  <si>
    <t>ETHAN ZHAING</t>
  </si>
  <si>
    <t>ETHAN</t>
  </si>
  <si>
    <t>ZHAING</t>
  </si>
  <si>
    <t>Belize</t>
  </si>
  <si>
    <t>BZ</t>
  </si>
  <si>
    <t>SETH EDWARDS</t>
  </si>
  <si>
    <t>SETH</t>
  </si>
  <si>
    <t>EDWARDS</t>
  </si>
  <si>
    <t>Benin</t>
  </si>
  <si>
    <t>BJ</t>
  </si>
  <si>
    <t>RUSSELL XIE</t>
  </si>
  <si>
    <t>RUSSELL</t>
  </si>
  <si>
    <t>XIE</t>
  </si>
  <si>
    <t>Bermuda</t>
  </si>
  <si>
    <t>BM</t>
  </si>
  <si>
    <t>ALEJANDRO BECK</t>
  </si>
  <si>
    <t>ALEJANDRO</t>
  </si>
  <si>
    <t>BECK</t>
  </si>
  <si>
    <t>Bhutan</t>
  </si>
  <si>
    <t>BT</t>
  </si>
  <si>
    <t>HAROLD SAI</t>
  </si>
  <si>
    <t>HAROLD</t>
  </si>
  <si>
    <t>SAI</t>
  </si>
  <si>
    <t>Bolivia</t>
  </si>
  <si>
    <t>BO</t>
  </si>
  <si>
    <t>JESSIE ZHAO</t>
  </si>
  <si>
    <t>JESSIE</t>
  </si>
  <si>
    <t>ZHAO</t>
  </si>
  <si>
    <t>Bosnia And Herzegovina</t>
  </si>
  <si>
    <t>BA</t>
  </si>
  <si>
    <t>JILL JIMENEZ</t>
  </si>
  <si>
    <t>JILL</t>
  </si>
  <si>
    <t>JIMENEZ</t>
  </si>
  <si>
    <t>Country Names</t>
  </si>
  <si>
    <t>Abbreviations</t>
  </si>
  <si>
    <t>Linear (Add)</t>
  </si>
  <si>
    <t>Growth (Multiply)</t>
  </si>
  <si>
    <t>Date (Day)</t>
  </si>
  <si>
    <t>Date (Weekday)</t>
  </si>
  <si>
    <t>Date (Month)</t>
  </si>
  <si>
    <t>Date (Year)</t>
  </si>
  <si>
    <t>AutoFill (Pattern)</t>
  </si>
  <si>
    <t>Linear with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</si>
  <si>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</si>
  <si>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</si>
  <si>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</si>
  <si>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</si>
  <si>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</si>
  <si>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</si>
  <si>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</si>
  <si>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</si>
  <si>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</si>
  <si>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Ankit</t>
  </si>
  <si>
    <t>bhadauriya</t>
  </si>
  <si>
    <t>Date</t>
  </si>
  <si>
    <t>Category</t>
  </si>
  <si>
    <t>Sub-Category</t>
  </si>
  <si>
    <t>Amount</t>
  </si>
  <si>
    <t>Payment Mode</t>
  </si>
  <si>
    <t>Dates</t>
  </si>
  <si>
    <t>1st Jan 2023</t>
  </si>
  <si>
    <t>Food</t>
  </si>
  <si>
    <t>Zomato</t>
  </si>
  <si>
    <t>UPI</t>
  </si>
  <si>
    <t>Clothes</t>
  </si>
  <si>
    <t>Dress</t>
  </si>
  <si>
    <t>Card</t>
  </si>
  <si>
    <t>2nd Jan 2023</t>
  </si>
  <si>
    <t>Grocery</t>
  </si>
  <si>
    <t>Fruits and Veggies</t>
  </si>
  <si>
    <t>Cash</t>
  </si>
  <si>
    <t>Milk</t>
  </si>
  <si>
    <t>4th Jan 2023</t>
  </si>
  <si>
    <t>Restaurant</t>
  </si>
  <si>
    <t>5th Jan 2023</t>
  </si>
  <si>
    <t>Chocolate</t>
  </si>
  <si>
    <t>6th Jan 2023</t>
  </si>
  <si>
    <t>7th Jan 2023</t>
  </si>
  <si>
    <t>Bills</t>
  </si>
  <si>
    <t>House Rent</t>
  </si>
  <si>
    <t>Mobile</t>
  </si>
  <si>
    <t>8th Jan 2023</t>
  </si>
  <si>
    <t>Essentials</t>
  </si>
  <si>
    <t>Shampoo</t>
  </si>
  <si>
    <t>9th Jan 2023</t>
  </si>
  <si>
    <t>10th Jan 2023</t>
  </si>
  <si>
    <t>Diary</t>
  </si>
  <si>
    <t>Chai</t>
  </si>
  <si>
    <t>11th Jan 2023</t>
  </si>
  <si>
    <t>12th Jan 2023</t>
  </si>
  <si>
    <t>Cylinder</t>
  </si>
  <si>
    <t>Salt and Sugar</t>
  </si>
  <si>
    <t>13th Jan 2023</t>
  </si>
  <si>
    <t>14th Jan 2023</t>
  </si>
  <si>
    <t>Food Oil</t>
  </si>
  <si>
    <t>15th Jan 2023</t>
  </si>
  <si>
    <t>Bread and Milk</t>
  </si>
  <si>
    <t>Product Name</t>
  </si>
  <si>
    <t>Qty Ordered</t>
  </si>
  <si>
    <t>Unit Price</t>
  </si>
  <si>
    <t>Tax Rate</t>
  </si>
  <si>
    <t>Discount Amt</t>
  </si>
  <si>
    <t>Total Cost (Formula)</t>
  </si>
  <si>
    <t>Net Price after Disc (Formula)</t>
  </si>
  <si>
    <t>Per Item Cost (Formula)</t>
  </si>
  <si>
    <t>Smartphone</t>
  </si>
  <si>
    <t>Wireless Mouse</t>
  </si>
  <si>
    <t>Monitor</t>
  </si>
  <si>
    <t>Addition</t>
  </si>
  <si>
    <t>Multiplication</t>
  </si>
  <si>
    <t>Substraction</t>
  </si>
  <si>
    <t>Division</t>
  </si>
  <si>
    <t>Prefix</t>
  </si>
  <si>
    <t>FirstName</t>
  </si>
  <si>
    <t>LastName</t>
  </si>
  <si>
    <t>Concatenate</t>
  </si>
  <si>
    <t>Lower</t>
  </si>
  <si>
    <t>Upper</t>
  </si>
  <si>
    <t>Proper</t>
  </si>
  <si>
    <t>Length</t>
  </si>
  <si>
    <t>Left</t>
  </si>
  <si>
    <t>Right</t>
  </si>
  <si>
    <t>MR.</t>
  </si>
  <si>
    <t>MS.</t>
  </si>
  <si>
    <t>Mid</t>
  </si>
  <si>
    <t>MRS.</t>
  </si>
  <si>
    <t>JACQUELY</t>
  </si>
  <si>
    <t>LAI</t>
  </si>
  <si>
    <t>Find</t>
  </si>
  <si>
    <t>Search</t>
  </si>
  <si>
    <t>Replace</t>
  </si>
  <si>
    <t>Substitution</t>
  </si>
  <si>
    <t>Full Name</t>
  </si>
  <si>
    <t>Job Title</t>
  </si>
  <si>
    <t>Department</t>
  </si>
  <si>
    <t>Gender</t>
  </si>
  <si>
    <t>Age</t>
  </si>
  <si>
    <t>Hire Date</t>
  </si>
  <si>
    <t>Country</t>
  </si>
  <si>
    <t>Conditions</t>
  </si>
  <si>
    <t>If</t>
  </si>
  <si>
    <t>AND</t>
  </si>
  <si>
    <t>OR</t>
  </si>
  <si>
    <t>Emily Davis</t>
  </si>
  <si>
    <t>Sr. Manger</t>
  </si>
  <si>
    <t>IT</t>
  </si>
  <si>
    <t>Female</t>
  </si>
  <si>
    <t>United States</t>
  </si>
  <si>
    <t>Theodore Dinh</t>
  </si>
  <si>
    <t>Technical Architect</t>
  </si>
  <si>
    <t>Male</t>
  </si>
  <si>
    <t>China</t>
  </si>
  <si>
    <t>Luna Sanders</t>
  </si>
  <si>
    <t>Director</t>
  </si>
  <si>
    <t>Finance</t>
  </si>
  <si>
    <t>Penelope Jordan</t>
  </si>
  <si>
    <t>Computer Systems Manager</t>
  </si>
  <si>
    <t>Austin Vo</t>
  </si>
  <si>
    <t>Sr. Analyst</t>
  </si>
  <si>
    <t>Joshua Gupta</t>
  </si>
  <si>
    <t>Account Representative</t>
  </si>
  <si>
    <t>Sales</t>
  </si>
  <si>
    <t>Ruby Barnes</t>
  </si>
  <si>
    <t>Manager</t>
  </si>
  <si>
    <t>Luke Martin</t>
  </si>
  <si>
    <t>Analyst</t>
  </si>
  <si>
    <t>Easton Bailey</t>
  </si>
  <si>
    <t>Accounting</t>
  </si>
  <si>
    <t>Madeline Walker</t>
  </si>
  <si>
    <t>Savannah Ali</t>
  </si>
  <si>
    <t>Human Resources</t>
  </si>
  <si>
    <t>Camila Rogers</t>
  </si>
  <si>
    <t>Controls Engineer</t>
  </si>
  <si>
    <t>Engineering</t>
  </si>
  <si>
    <t>Eli Jones</t>
  </si>
  <si>
    <t>Everleigh Ng</t>
  </si>
  <si>
    <t>Robert Yang</t>
  </si>
  <si>
    <t>Isabella Xi</t>
  </si>
  <si>
    <t>Vice President</t>
  </si>
  <si>
    <t>Marketing</t>
  </si>
  <si>
    <t>Bella Powell</t>
  </si>
  <si>
    <t>Camila Silva</t>
  </si>
  <si>
    <t>David Barnes</t>
  </si>
  <si>
    <t>Today</t>
  </si>
  <si>
    <t>Day</t>
  </si>
  <si>
    <t>Now</t>
  </si>
  <si>
    <t>Month</t>
  </si>
  <si>
    <t>Year</t>
  </si>
  <si>
    <t>Hour</t>
  </si>
  <si>
    <t>Mins</t>
  </si>
  <si>
    <t>Sec</t>
  </si>
  <si>
    <t>date + 3days</t>
  </si>
  <si>
    <t>date + 3months</t>
  </si>
  <si>
    <t>date +3years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</si>
</sst>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/mm/dd;@"/>
    <numFmt numFmtId="167" formatCode="[$-F800]dddd\,\ mmmm\ dd\,\ yyyy"/>
  </numFmts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rgb="FF1F1F1F"/>
      <name val="Google Sans Text"/>
    </font>
    <font>
      <b/>
      <sz val="9"/>
      <color rgb="FFFF0000"/>
      <name val="Google Sans Text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indent="1" readingOrder="1"/>
    </xf>
    <xf numFmtId="0" fontId="2" fillId="0" borderId="2" xfId="0" applyFont="1" applyBorder="1" applyAlignment="1">
      <alignment horizontal="left" vertical="center" indent="1" readingOrder="1"/>
    </xf>
    <xf numFmtId="0" fontId="4" fillId="0" borderId="2" xfId="0" applyFont="1" applyBorder="1" applyAlignment="1">
      <alignment horizontal="left" vertical="center" indent="1" readingOrder="1"/>
    </xf>
    <xf numFmtId="0" fontId="5" fillId="0" borderId="2" xfId="0" applyFont="1" applyBorder="1" applyAlignment="1">
      <alignment horizontal="left" vertical="center" inden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horizontal="right" vertical="center" wrapText="1" indent="1" readingOrder="1"/>
    </xf>
    <xf numFmtId="14" fontId="2" fillId="0" borderId="2" xfId="0" applyNumberFormat="1" applyFont="1" applyBorder="1" applyAlignment="1">
      <alignment horizontal="right" vertical="center" wrapText="1" indent="1" readingOrder="1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15" fontId="0" fillId="0" borderId="0" xfId="0" applyNumberFormat="1"/>
    <xf numFmtId="3" fontId="0" fillId="0" borderId="0" xfId="0" applyNumberFormat="1"/>
    <xf numFmtId="167" fontId="0" fillId="0" borderId="0" xfId="0" applyNumberFormat="1"/>
    <xf numFmtId="0" fontId="3" fillId="0" borderId="2" xfId="0" applyFont="1" applyBorder="1" applyAlignment="1">
      <alignment horizontal="left" vertical="center" wrapText="1" indent="1" readingOrder="1"/>
    </xf>
    <xf numFmtId="9" fontId="2" fillId="0" borderId="2" xfId="0" applyNumberFormat="1" applyFont="1" applyBorder="1" applyAlignment="1">
      <alignment horizontal="left" vertical="center" wrapText="1" indent="1" readingOrder="1"/>
    </xf>
    <xf numFmtId="0" fontId="3" fillId="0" borderId="3" xfId="0" applyFont="1" applyFill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top"/>
    </xf>
    <xf numFmtId="0" fontId="8" fillId="0" borderId="0" xfId="0" applyFont="1" applyBorder="1" applyAlignment="1">
      <alignment horizontal="left" vertical="top" wrapText="1" readingOrder="1"/>
    </xf>
    <xf numFmtId="0" fontId="8" fillId="0" borderId="0" xfId="0" applyFont="1" applyBorder="1" applyAlignment="1">
      <alignment horizontal="left" vertical="center" wrapText="1" indent="1" readingOrder="1"/>
    </xf>
    <xf numFmtId="0" fontId="7" fillId="0" borderId="0" xfId="0" applyFont="1"/>
    <xf numFmtId="0" fontId="9" fillId="0" borderId="0" xfId="0" applyFont="1"/>
    <xf numFmtId="0" fontId="3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kit gujre" id="{1B580FBE-5650-4AF0-8974-B47F26D25219}" userId="989b8d879cf27b8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C87F7-49FC-4487-B888-0F204218EFD5}" name="Table3" displayName="Table3" ref="A1:E20" totalsRowShown="0">
  <autoFilter ref="A1:E20" xr:uid="{6CCC87F7-49FC-4487-B888-0F204218EFD5}"/>
  <sortState xmlns:xlrd2="http://schemas.microsoft.com/office/spreadsheetml/2017/richdata2" ref="A2:E20">
    <sortCondition descending="1" ref="D2:D20"/>
  </sortState>
  <tableColumns count="5">
    <tableColumn id="1" xr3:uid="{5F31884B-E010-4818-8F32-51B32263D520}" name="Date"/>
    <tableColumn id="2" xr3:uid="{397BBE4B-2491-4FC6-A09E-5B46B3703C0B}" name="Category"/>
    <tableColumn id="3" xr3:uid="{5056282D-8BF3-45E8-BCDD-03E7D521660E}" name="Sub-Category"/>
    <tableColumn id="4" xr3:uid="{CDD4DBC2-9D0E-4997-BE82-5467F16E1875}" name="Amount"/>
    <tableColumn id="5" xr3:uid="{8770A22C-7CD0-4F30-A39F-69F4460B03B8}" name="Payment Mod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4B5EE4-B8ED-4CEE-9BEA-CD8D02069132}" name="Table4" displayName="Table4" ref="H1:H20" totalsRowShown="0">
  <autoFilter ref="H1:H20" xr:uid="{B24B5EE4-B8ED-4CEE-9BEA-CD8D02069132}"/>
  <sortState xmlns:xlrd2="http://schemas.microsoft.com/office/spreadsheetml/2017/richdata2" ref="H2:H20">
    <sortCondition ref="H1:H20"/>
  </sortState>
  <tableColumns count="1">
    <tableColumn id="1" xr3:uid="{245ABA7D-7ECE-4568-A31E-1E8B7C978F00}" name="Dat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6-21T11:44:29.92" personId="{1B580FBE-5650-4AF0-8974-B47F26D25219}" id="{4BE972BF-63EE-4BAE-B5F5-22BBEFE9AA38}">
    <text>This is wired mouse</text>
  </threadedComment>
  <threadedComment ref="H2" dT="2026-06-21T11:44:29.92" personId="{1B580FBE-5650-4AF0-8974-B47F26D25219}" id="{2517D5E9-003A-405F-A568-242A32BBFFA3}">
    <text>This is wired mouse</text>
  </threadedComment>
  <threadedComment ref="O3" dT="2026-06-21T11:44:29.92" personId="{1B580FBE-5650-4AF0-8974-B47F26D25219}" id="{2DD3251A-7413-4E9F-AF3F-67932DA98643}">
    <text>This is wired mouse</text>
  </threadedComment>
  <threadedComment ref="A16" dT="2026-06-21T11:44:29.92" personId="{1B580FBE-5650-4AF0-8974-B47F26D25219}" id="{74407DA6-70E9-4F1F-A1DD-B91DFA7F4F21}">
    <text>This is wired mouse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B353-9C0F-445A-AF5B-135B21ABA93D}">
  <dimension ref="A1:R13"/>
  <sheetViews>
    <sheetView workbookViewId="0">
      <selection activeCell="P1" sqref="P1:R8"/>
    </sheetView>
  </sheetViews>
  <sheetFormatPr defaultRowHeight="14.4"/>
  <cols>
    <col min="1" max="1" width="6.77734375" bestFit="1" customWidth="1"/>
    <col min="2" max="2" width="8.21875" bestFit="1" customWidth="1"/>
    <col min="3" max="3" width="13.77734375" bestFit="1" customWidth="1"/>
    <col min="14" max="14" width="6.77734375" bestFit="1" customWidth="1"/>
    <col min="15" max="15" width="8.21875" bestFit="1" customWidth="1"/>
    <col min="16" max="16" width="13.77734375" bestFit="1" customWidth="1"/>
  </cols>
  <sheetData>
    <row r="1" spans="1:18">
      <c r="A1" t="s">
        <v>0</v>
      </c>
      <c r="B1" t="s">
        <v>7</v>
      </c>
      <c r="C1" t="s">
        <v>14</v>
      </c>
      <c r="P1" s="1"/>
      <c r="Q1" s="1" t="s">
        <v>22</v>
      </c>
      <c r="R1" s="1" t="s">
        <v>23</v>
      </c>
    </row>
    <row r="2" spans="1:18">
      <c r="A2" t="s">
        <v>1</v>
      </c>
      <c r="B2" t="s">
        <v>8</v>
      </c>
      <c r="C2" t="s">
        <v>15</v>
      </c>
      <c r="P2" s="1" t="s">
        <v>14</v>
      </c>
      <c r="Q2" s="1" t="s">
        <v>0</v>
      </c>
      <c r="R2" s="1" t="s">
        <v>7</v>
      </c>
    </row>
    <row r="3" spans="1:18">
      <c r="A3" t="s">
        <v>2</v>
      </c>
      <c r="B3" t="s">
        <v>9</v>
      </c>
      <c r="C3" t="s">
        <v>16</v>
      </c>
      <c r="P3" s="1" t="s">
        <v>15</v>
      </c>
      <c r="Q3" s="1" t="s">
        <v>1</v>
      </c>
      <c r="R3" s="1" t="s">
        <v>8</v>
      </c>
    </row>
    <row r="4" spans="1:18">
      <c r="A4" t="s">
        <v>3</v>
      </c>
      <c r="B4" t="s">
        <v>10</v>
      </c>
      <c r="C4" t="s">
        <v>17</v>
      </c>
      <c r="P4" s="1" t="s">
        <v>16</v>
      </c>
      <c r="Q4" s="1" t="s">
        <v>2</v>
      </c>
      <c r="R4" s="1" t="s">
        <v>9</v>
      </c>
    </row>
    <row r="5" spans="1:18">
      <c r="A5" t="s">
        <v>4</v>
      </c>
      <c r="B5" t="s">
        <v>11</v>
      </c>
      <c r="C5" t="s">
        <v>18</v>
      </c>
      <c r="P5" s="1" t="s">
        <v>17</v>
      </c>
      <c r="Q5" s="1" t="s">
        <v>24</v>
      </c>
      <c r="R5" s="1" t="s">
        <v>10</v>
      </c>
    </row>
    <row r="6" spans="1:18">
      <c r="A6" t="s">
        <v>5</v>
      </c>
      <c r="B6" t="s">
        <v>12</v>
      </c>
      <c r="C6" t="s">
        <v>19</v>
      </c>
      <c r="P6" s="1" t="s">
        <v>18</v>
      </c>
      <c r="Q6" s="1" t="s">
        <v>4</v>
      </c>
      <c r="R6" s="1" t="s">
        <v>11</v>
      </c>
    </row>
    <row r="7" spans="1:18">
      <c r="A7" t="s">
        <v>6</v>
      </c>
      <c r="B7" t="s">
        <v>13</v>
      </c>
      <c r="C7" t="s">
        <v>20</v>
      </c>
      <c r="P7" s="1" t="s">
        <v>19</v>
      </c>
      <c r="Q7" s="1" t="s">
        <v>5</v>
      </c>
      <c r="R7" s="1" t="s">
        <v>12</v>
      </c>
    </row>
    <row r="8" spans="1:18">
      <c r="P8" s="1" t="s">
        <v>20</v>
      </c>
      <c r="Q8" s="1" t="s">
        <v>6</v>
      </c>
      <c r="R8" s="1" t="s">
        <v>13</v>
      </c>
    </row>
    <row r="9" spans="1:18">
      <c r="F9" s="17" t="s">
        <v>21</v>
      </c>
      <c r="G9" s="17"/>
      <c r="H9" s="17"/>
      <c r="I9" s="17"/>
      <c r="J9" s="17"/>
    </row>
    <row r="10" spans="1:18">
      <c r="F10" s="17"/>
      <c r="G10" s="17"/>
      <c r="H10" s="17"/>
      <c r="I10" s="17"/>
      <c r="J10" s="17"/>
    </row>
    <row r="11" spans="1:18">
      <c r="F11" s="17"/>
      <c r="G11" s="17"/>
      <c r="H11" s="17"/>
      <c r="I11" s="17"/>
      <c r="J11" s="17"/>
    </row>
    <row r="12" spans="1:18">
      <c r="F12" s="17"/>
      <c r="G12" s="17"/>
      <c r="H12" s="17"/>
      <c r="I12" s="17"/>
      <c r="J12" s="17"/>
    </row>
    <row r="13" spans="1:18">
      <c r="F13" s="17"/>
      <c r="G13" s="17"/>
      <c r="H13" s="17"/>
      <c r="I13" s="17"/>
      <c r="J13" s="17"/>
    </row>
  </sheetData>
  <mergeCells count="1">
    <mergeCell ref="F9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670E-A4FB-45F2-9064-0DB83F8598D1}">
  <dimension ref="A1:Y26"/>
  <sheetViews>
    <sheetView topLeftCell="F1" workbookViewId="0">
      <selection activeCell="N3" sqref="N3:Y7"/>
    </sheetView>
  </sheetViews>
  <sheetFormatPr defaultRowHeight="14.4"/>
  <cols>
    <col min="1" max="1" width="13.88671875" customWidth="1"/>
    <col min="2" max="2" width="12.44140625" customWidth="1"/>
    <col min="3" max="3" width="12.109375" customWidth="1"/>
    <col min="4" max="4" width="13.6640625" customWidth="1"/>
    <col min="5" max="5" width="12.44140625" customWidth="1"/>
    <col min="8" max="8" width="13.88671875" customWidth="1"/>
    <col min="9" max="9" width="12.44140625" customWidth="1"/>
    <col min="10" max="10" width="12.109375" customWidth="1"/>
    <col min="11" max="11" width="13.6640625" customWidth="1"/>
    <col min="12" max="12" width="12.44140625" customWidth="1"/>
    <col min="14" max="15" width="8.33203125" bestFit="1" customWidth="1"/>
    <col min="16" max="16" width="5.88671875" bestFit="1" customWidth="1"/>
    <col min="17" max="17" width="11.109375" customWidth="1"/>
    <col min="18" max="18" width="8.21875" bestFit="1" customWidth="1"/>
    <col min="19" max="20" width="8.44140625" bestFit="1" customWidth="1"/>
    <col min="21" max="21" width="6.77734375" bestFit="1" customWidth="1"/>
    <col min="22" max="23" width="8.5546875" bestFit="1" customWidth="1"/>
    <col min="24" max="24" width="6.77734375" bestFit="1" customWidth="1"/>
    <col min="25" max="25" width="7.6640625" bestFit="1" customWidth="1"/>
  </cols>
  <sheetData>
    <row r="1" spans="1:25" ht="28.2" thickBot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spans="1:25" ht="15" thickBot="1">
      <c r="A2" s="2" t="s">
        <v>30</v>
      </c>
      <c r="B2" s="2">
        <v>5000</v>
      </c>
      <c r="C2" s="2">
        <v>12000</v>
      </c>
      <c r="D2" s="2">
        <v>5000</v>
      </c>
      <c r="E2" s="3">
        <f>SUM(B2:D2)</f>
        <v>22000</v>
      </c>
      <c r="H2" s="7" t="s">
        <v>30</v>
      </c>
      <c r="I2" s="7">
        <v>5000</v>
      </c>
      <c r="J2" s="7">
        <v>12000</v>
      </c>
      <c r="K2" s="7">
        <v>5000</v>
      </c>
      <c r="L2" s="8">
        <f>SUM(I2:K2)</f>
        <v>22000</v>
      </c>
    </row>
    <row r="3" spans="1:25" ht="28.2" thickBot="1">
      <c r="A3" s="2" t="s">
        <v>31</v>
      </c>
      <c r="B3" s="2">
        <v>600</v>
      </c>
      <c r="C3" s="2">
        <v>600</v>
      </c>
      <c r="D3" s="2">
        <v>600</v>
      </c>
      <c r="E3" s="3">
        <f t="shared" ref="E3:E11" si="0">SUM(B3:D3)</f>
        <v>1800</v>
      </c>
      <c r="H3" s="7" t="s">
        <v>31</v>
      </c>
      <c r="I3" s="7">
        <v>600</v>
      </c>
      <c r="J3" s="7">
        <v>600</v>
      </c>
      <c r="K3" s="7">
        <v>600</v>
      </c>
      <c r="L3" s="8">
        <f t="shared" ref="L3:L11" si="1">SUM(I3:K3)</f>
        <v>1800</v>
      </c>
      <c r="N3" s="5" t="s">
        <v>25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39</v>
      </c>
      <c r="Y3" s="5" t="s">
        <v>29</v>
      </c>
    </row>
    <row r="4" spans="1:25" ht="28.2" thickBot="1">
      <c r="A4" s="2" t="s">
        <v>32</v>
      </c>
      <c r="B4" s="2">
        <v>5000</v>
      </c>
      <c r="C4" s="2">
        <v>5000</v>
      </c>
      <c r="D4" s="2">
        <v>150</v>
      </c>
      <c r="E4" s="3">
        <f t="shared" si="0"/>
        <v>10150</v>
      </c>
      <c r="H4" s="7" t="s">
        <v>32</v>
      </c>
      <c r="I4" s="7">
        <v>5000</v>
      </c>
      <c r="J4" s="7">
        <v>5000</v>
      </c>
      <c r="K4" s="7">
        <v>150</v>
      </c>
      <c r="L4" s="8">
        <f t="shared" si="1"/>
        <v>10150</v>
      </c>
      <c r="N4" s="5" t="s">
        <v>26</v>
      </c>
      <c r="O4" s="2">
        <v>5000</v>
      </c>
      <c r="P4" s="2">
        <v>600</v>
      </c>
      <c r="Q4" s="2">
        <v>5000</v>
      </c>
      <c r="R4" s="2">
        <v>150</v>
      </c>
      <c r="S4" s="2">
        <v>6000</v>
      </c>
      <c r="T4" s="2">
        <v>59</v>
      </c>
      <c r="U4" s="2">
        <v>1500</v>
      </c>
      <c r="V4" s="2">
        <v>90</v>
      </c>
      <c r="W4" s="2">
        <v>9000</v>
      </c>
      <c r="X4" s="2">
        <v>3300</v>
      </c>
      <c r="Y4" s="2"/>
    </row>
    <row r="5" spans="1:25" ht="28.2" thickBot="1">
      <c r="A5" s="2" t="s">
        <v>33</v>
      </c>
      <c r="B5" s="2">
        <v>150</v>
      </c>
      <c r="C5" s="2">
        <v>150</v>
      </c>
      <c r="D5" s="2">
        <v>150</v>
      </c>
      <c r="E5" s="3">
        <f t="shared" si="0"/>
        <v>450</v>
      </c>
      <c r="H5" s="7" t="s">
        <v>33</v>
      </c>
      <c r="I5" s="7">
        <v>150</v>
      </c>
      <c r="J5" s="7">
        <v>150</v>
      </c>
      <c r="K5" s="7">
        <v>150</v>
      </c>
      <c r="L5" s="8">
        <f t="shared" si="1"/>
        <v>450</v>
      </c>
      <c r="N5" s="5" t="s">
        <v>27</v>
      </c>
      <c r="O5" s="2">
        <v>12000</v>
      </c>
      <c r="P5" s="2">
        <v>600</v>
      </c>
      <c r="Q5" s="2">
        <v>5000</v>
      </c>
      <c r="R5" s="2">
        <v>150</v>
      </c>
      <c r="S5" s="2">
        <v>6000</v>
      </c>
      <c r="T5" s="2">
        <v>59</v>
      </c>
      <c r="U5" s="2">
        <v>1500</v>
      </c>
      <c r="V5" s="2">
        <v>90</v>
      </c>
      <c r="W5" s="2">
        <v>9000</v>
      </c>
      <c r="X5" s="2">
        <v>3300</v>
      </c>
      <c r="Y5" s="2"/>
    </row>
    <row r="6" spans="1:25" ht="28.2" thickBot="1">
      <c r="A6" s="2" t="s">
        <v>34</v>
      </c>
      <c r="B6" s="2">
        <v>6000</v>
      </c>
      <c r="C6" s="2">
        <v>6000</v>
      </c>
      <c r="D6" s="2">
        <v>6000</v>
      </c>
      <c r="E6" s="3">
        <f t="shared" si="0"/>
        <v>18000</v>
      </c>
      <c r="H6" s="7" t="s">
        <v>34</v>
      </c>
      <c r="I6" s="7">
        <v>6000</v>
      </c>
      <c r="J6" s="7">
        <v>6000</v>
      </c>
      <c r="K6" s="7">
        <v>6000</v>
      </c>
      <c r="L6" s="8">
        <f t="shared" si="1"/>
        <v>18000</v>
      </c>
      <c r="N6" s="5" t="s">
        <v>28</v>
      </c>
      <c r="O6" s="2">
        <v>5000</v>
      </c>
      <c r="P6" s="2">
        <v>600</v>
      </c>
      <c r="Q6" s="2">
        <v>150</v>
      </c>
      <c r="R6" s="2">
        <v>150</v>
      </c>
      <c r="S6" s="2">
        <v>6000</v>
      </c>
      <c r="T6" s="2">
        <v>59</v>
      </c>
      <c r="U6" s="2">
        <v>1500</v>
      </c>
      <c r="V6" s="2">
        <v>1500</v>
      </c>
      <c r="W6" s="2">
        <v>9000</v>
      </c>
      <c r="X6" s="2">
        <v>3300</v>
      </c>
      <c r="Y6" s="2"/>
    </row>
    <row r="7" spans="1:25" ht="28.2" thickBot="1">
      <c r="A7" s="2" t="s">
        <v>35</v>
      </c>
      <c r="B7" s="2">
        <v>59</v>
      </c>
      <c r="C7" s="2">
        <v>59</v>
      </c>
      <c r="D7" s="2">
        <v>59</v>
      </c>
      <c r="E7" s="3">
        <f t="shared" si="0"/>
        <v>177</v>
      </c>
      <c r="H7" s="7" t="s">
        <v>35</v>
      </c>
      <c r="I7" s="7">
        <v>59</v>
      </c>
      <c r="J7" s="7">
        <v>59</v>
      </c>
      <c r="K7" s="7">
        <v>59</v>
      </c>
      <c r="L7" s="8">
        <f t="shared" si="1"/>
        <v>177</v>
      </c>
      <c r="N7" s="5" t="s">
        <v>29</v>
      </c>
      <c r="O7" s="3">
        <f t="shared" ref="O7:X7" si="2">SUM(O4:O6)</f>
        <v>22000</v>
      </c>
      <c r="P7" s="3">
        <f t="shared" si="2"/>
        <v>1800</v>
      </c>
      <c r="Q7" s="3">
        <f t="shared" si="2"/>
        <v>10150</v>
      </c>
      <c r="R7" s="3">
        <f t="shared" si="2"/>
        <v>450</v>
      </c>
      <c r="S7" s="3">
        <f t="shared" si="2"/>
        <v>18000</v>
      </c>
      <c r="T7" s="3">
        <f t="shared" si="2"/>
        <v>177</v>
      </c>
      <c r="U7" s="3">
        <f t="shared" si="2"/>
        <v>4500</v>
      </c>
      <c r="V7" s="3">
        <f t="shared" si="2"/>
        <v>1680</v>
      </c>
      <c r="W7" s="3">
        <f t="shared" si="2"/>
        <v>27000</v>
      </c>
      <c r="X7" s="3">
        <f t="shared" si="2"/>
        <v>9900</v>
      </c>
      <c r="Y7" s="4">
        <f>SUM(O7:X7)</f>
        <v>95657</v>
      </c>
    </row>
    <row r="8" spans="1:25" ht="15" thickBot="1">
      <c r="A8" s="2" t="s">
        <v>36</v>
      </c>
      <c r="B8" s="2">
        <v>1500</v>
      </c>
      <c r="C8" s="2">
        <v>1500</v>
      </c>
      <c r="D8" s="2">
        <v>1500</v>
      </c>
      <c r="E8" s="3">
        <f t="shared" si="0"/>
        <v>4500</v>
      </c>
      <c r="H8" s="7" t="s">
        <v>36</v>
      </c>
      <c r="I8" s="7">
        <v>1500</v>
      </c>
      <c r="J8" s="7">
        <v>1500</v>
      </c>
      <c r="K8" s="7">
        <v>1500</v>
      </c>
      <c r="L8" s="8">
        <f t="shared" si="1"/>
        <v>4500</v>
      </c>
    </row>
    <row r="9" spans="1:25" ht="15" thickBot="1">
      <c r="A9" s="2" t="s">
        <v>37</v>
      </c>
      <c r="B9" s="2">
        <v>90</v>
      </c>
      <c r="C9" s="2">
        <v>90</v>
      </c>
      <c r="D9" s="2">
        <v>1500</v>
      </c>
      <c r="E9" s="3">
        <f t="shared" si="0"/>
        <v>1680</v>
      </c>
      <c r="H9" s="7" t="s">
        <v>37</v>
      </c>
      <c r="I9" s="7">
        <v>90</v>
      </c>
      <c r="J9" s="7">
        <v>90</v>
      </c>
      <c r="K9" s="7">
        <v>1500</v>
      </c>
      <c r="L9" s="8">
        <f t="shared" si="1"/>
        <v>1680</v>
      </c>
    </row>
    <row r="10" spans="1:25" ht="15" thickBot="1">
      <c r="A10" s="2" t="s">
        <v>38</v>
      </c>
      <c r="B10" s="2">
        <v>9000</v>
      </c>
      <c r="C10" s="2">
        <v>9000</v>
      </c>
      <c r="D10" s="2">
        <v>9000</v>
      </c>
      <c r="E10" s="3">
        <f t="shared" si="0"/>
        <v>27000</v>
      </c>
      <c r="H10" s="7" t="s">
        <v>38</v>
      </c>
      <c r="I10" s="7">
        <v>9000</v>
      </c>
      <c r="J10" s="7">
        <v>9000</v>
      </c>
      <c r="K10" s="7">
        <v>9000</v>
      </c>
      <c r="L10" s="8">
        <f t="shared" si="1"/>
        <v>27000</v>
      </c>
    </row>
    <row r="11" spans="1:25" ht="15" thickBot="1">
      <c r="A11" s="2" t="s">
        <v>39</v>
      </c>
      <c r="B11" s="2">
        <v>3300</v>
      </c>
      <c r="C11" s="2">
        <v>3300</v>
      </c>
      <c r="D11" s="2">
        <v>3300</v>
      </c>
      <c r="E11" s="3">
        <f t="shared" si="0"/>
        <v>9900</v>
      </c>
      <c r="H11" s="7" t="s">
        <v>39</v>
      </c>
      <c r="I11" s="7">
        <v>3300</v>
      </c>
      <c r="J11" s="7">
        <v>3300</v>
      </c>
      <c r="K11" s="7">
        <v>3300</v>
      </c>
      <c r="L11" s="8">
        <f t="shared" si="1"/>
        <v>9900</v>
      </c>
    </row>
    <row r="12" spans="1:25" ht="15" thickBot="1">
      <c r="A12" s="5" t="s">
        <v>29</v>
      </c>
      <c r="B12" s="2"/>
      <c r="C12" s="2"/>
      <c r="D12" s="2"/>
      <c r="E12" s="4">
        <f>SUM(E2:E11)</f>
        <v>95657</v>
      </c>
      <c r="H12" s="6" t="s">
        <v>29</v>
      </c>
      <c r="I12" s="7"/>
      <c r="J12" s="7"/>
      <c r="K12" s="7"/>
      <c r="L12" s="9">
        <f>SUM(L2:L11)</f>
        <v>95657</v>
      </c>
    </row>
    <row r="15" spans="1:25" ht="27.6">
      <c r="A15" s="10" t="s">
        <v>25</v>
      </c>
      <c r="B15" s="10" t="s">
        <v>26</v>
      </c>
      <c r="C15" s="10" t="s">
        <v>27</v>
      </c>
      <c r="D15" s="10" t="s">
        <v>28</v>
      </c>
      <c r="E15" s="10" t="s">
        <v>29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</row>
    <row r="16" spans="1:25">
      <c r="A16" s="11" t="s">
        <v>30</v>
      </c>
      <c r="B16" s="11">
        <v>5000</v>
      </c>
      <c r="C16" s="11">
        <v>12000</v>
      </c>
      <c r="D16" s="11">
        <v>5000</v>
      </c>
      <c r="E16" s="12">
        <f>SUM(B16:D16)</f>
        <v>22000</v>
      </c>
      <c r="H16" t="s">
        <v>30</v>
      </c>
      <c r="I16">
        <v>5000</v>
      </c>
      <c r="J16">
        <v>12000</v>
      </c>
      <c r="K16">
        <v>5000</v>
      </c>
      <c r="L16">
        <f>SUM(I16:K16)</f>
        <v>22000</v>
      </c>
    </row>
    <row r="17" spans="1:12">
      <c r="A17" s="11" t="s">
        <v>31</v>
      </c>
      <c r="B17" s="11">
        <v>600</v>
      </c>
      <c r="C17" s="11">
        <v>600</v>
      </c>
      <c r="D17" s="11">
        <v>600</v>
      </c>
      <c r="E17" s="12">
        <f t="shared" ref="E17:E25" si="3">SUM(B17:D17)</f>
        <v>1800</v>
      </c>
      <c r="H17" t="s">
        <v>31</v>
      </c>
      <c r="I17">
        <v>600</v>
      </c>
      <c r="J17">
        <v>600</v>
      </c>
      <c r="K17">
        <v>600</v>
      </c>
      <c r="L17">
        <f t="shared" ref="L17:L25" si="4">SUM(I17:K17)</f>
        <v>1800</v>
      </c>
    </row>
    <row r="18" spans="1:12">
      <c r="A18" s="11" t="s">
        <v>32</v>
      </c>
      <c r="B18" s="11">
        <v>5000</v>
      </c>
      <c r="C18" s="11">
        <v>5000</v>
      </c>
      <c r="D18" s="11">
        <v>150</v>
      </c>
      <c r="E18" s="12">
        <f t="shared" si="3"/>
        <v>10150</v>
      </c>
      <c r="H18" t="s">
        <v>32</v>
      </c>
      <c r="I18">
        <v>5000</v>
      </c>
      <c r="J18">
        <v>5000</v>
      </c>
      <c r="K18">
        <v>150</v>
      </c>
      <c r="L18">
        <f t="shared" si="4"/>
        <v>10150</v>
      </c>
    </row>
    <row r="19" spans="1:12">
      <c r="A19" s="11" t="s">
        <v>33</v>
      </c>
      <c r="B19" s="11">
        <v>150</v>
      </c>
      <c r="C19" s="11">
        <v>150</v>
      </c>
      <c r="D19" s="11">
        <v>150</v>
      </c>
      <c r="E19" s="12">
        <f t="shared" si="3"/>
        <v>450</v>
      </c>
      <c r="H19" t="s">
        <v>33</v>
      </c>
      <c r="I19">
        <v>150</v>
      </c>
      <c r="J19">
        <v>150</v>
      </c>
      <c r="K19">
        <v>150</v>
      </c>
      <c r="L19">
        <f t="shared" si="4"/>
        <v>450</v>
      </c>
    </row>
    <row r="20" spans="1:12">
      <c r="A20" s="11" t="s">
        <v>34</v>
      </c>
      <c r="B20" s="11">
        <v>6000</v>
      </c>
      <c r="C20" s="11">
        <v>6000</v>
      </c>
      <c r="D20" s="11">
        <v>6000</v>
      </c>
      <c r="E20" s="12">
        <f t="shared" si="3"/>
        <v>18000</v>
      </c>
      <c r="H20" t="s">
        <v>34</v>
      </c>
      <c r="I20">
        <v>6000</v>
      </c>
      <c r="J20">
        <v>6000</v>
      </c>
      <c r="K20">
        <v>6000</v>
      </c>
      <c r="L20">
        <f t="shared" si="4"/>
        <v>18000</v>
      </c>
    </row>
    <row r="21" spans="1:12">
      <c r="A21" s="11" t="s">
        <v>35</v>
      </c>
      <c r="B21" s="11">
        <v>59</v>
      </c>
      <c r="C21" s="11">
        <v>59</v>
      </c>
      <c r="D21" s="11">
        <v>59</v>
      </c>
      <c r="E21" s="12">
        <f t="shared" si="3"/>
        <v>177</v>
      </c>
      <c r="H21" t="s">
        <v>35</v>
      </c>
      <c r="I21">
        <v>59</v>
      </c>
      <c r="J21">
        <v>59</v>
      </c>
      <c r="K21">
        <v>59</v>
      </c>
      <c r="L21">
        <f t="shared" si="4"/>
        <v>177</v>
      </c>
    </row>
    <row r="22" spans="1:12">
      <c r="A22" s="11" t="s">
        <v>36</v>
      </c>
      <c r="B22" s="11">
        <v>1500</v>
      </c>
      <c r="C22" s="11">
        <v>1500</v>
      </c>
      <c r="D22" s="11">
        <v>1500</v>
      </c>
      <c r="E22" s="12">
        <f t="shared" si="3"/>
        <v>4500</v>
      </c>
      <c r="H22" t="s">
        <v>36</v>
      </c>
      <c r="I22">
        <v>1500</v>
      </c>
      <c r="J22">
        <v>1500</v>
      </c>
      <c r="K22">
        <v>1500</v>
      </c>
      <c r="L22">
        <f t="shared" si="4"/>
        <v>4500</v>
      </c>
    </row>
    <row r="23" spans="1:12">
      <c r="A23" s="11" t="s">
        <v>37</v>
      </c>
      <c r="B23" s="11">
        <v>90</v>
      </c>
      <c r="C23" s="11">
        <v>90</v>
      </c>
      <c r="D23" s="11">
        <v>1500</v>
      </c>
      <c r="E23" s="12">
        <f t="shared" si="3"/>
        <v>1680</v>
      </c>
      <c r="H23" t="s">
        <v>37</v>
      </c>
      <c r="I23">
        <v>90</v>
      </c>
      <c r="J23">
        <v>90</v>
      </c>
      <c r="K23">
        <v>1500</v>
      </c>
      <c r="L23">
        <f t="shared" si="4"/>
        <v>1680</v>
      </c>
    </row>
    <row r="24" spans="1:12">
      <c r="A24" s="11" t="s">
        <v>38</v>
      </c>
      <c r="B24" s="11">
        <v>9000</v>
      </c>
      <c r="C24" s="11">
        <v>9000</v>
      </c>
      <c r="D24" s="11">
        <v>9000</v>
      </c>
      <c r="E24" s="12">
        <f t="shared" si="3"/>
        <v>27000</v>
      </c>
      <c r="H24" t="s">
        <v>38</v>
      </c>
      <c r="I24">
        <v>9000</v>
      </c>
      <c r="J24">
        <v>9000</v>
      </c>
      <c r="K24">
        <v>9000</v>
      </c>
      <c r="L24">
        <f t="shared" si="4"/>
        <v>27000</v>
      </c>
    </row>
    <row r="25" spans="1:12">
      <c r="A25" s="11" t="s">
        <v>39</v>
      </c>
      <c r="B25" s="11">
        <v>3300</v>
      </c>
      <c r="C25" s="11">
        <v>3300</v>
      </c>
      <c r="D25" s="11">
        <v>3300</v>
      </c>
      <c r="E25" s="12">
        <f t="shared" si="3"/>
        <v>9900</v>
      </c>
      <c r="H25" t="s">
        <v>39</v>
      </c>
      <c r="I25">
        <v>3300</v>
      </c>
      <c r="J25">
        <v>3300</v>
      </c>
      <c r="K25">
        <v>3300</v>
      </c>
      <c r="L25">
        <f t="shared" si="4"/>
        <v>9900</v>
      </c>
    </row>
    <row r="26" spans="1:12">
      <c r="A26" s="10" t="s">
        <v>29</v>
      </c>
      <c r="B26" s="11"/>
      <c r="C26" s="11"/>
      <c r="D26" s="11"/>
      <c r="E26" s="13">
        <f>SUM(E16:E25)</f>
        <v>95657</v>
      </c>
      <c r="H26" t="s">
        <v>29</v>
      </c>
      <c r="L26">
        <f>SUM(L16:L25)</f>
        <v>95657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FB68-24C1-4170-945B-FF1E97E0E86D}">
  <dimension ref="A1:E29"/>
  <sheetViews>
    <sheetView workbookViewId="0">
      <selection activeCell="D32" sqref="D32"/>
    </sheetView>
  </sheetViews>
  <sheetFormatPr defaultRowHeight="14.4"/>
  <cols>
    <col min="1" max="1" width="20.6640625" bestFit="1" customWidth="1"/>
    <col min="2" max="2" width="12.109375" bestFit="1" customWidth="1"/>
    <col min="3" max="3" width="18.5546875" bestFit="1" customWidth="1"/>
    <col min="4" max="4" width="10.77734375" bestFit="1" customWidth="1"/>
    <col min="5" max="5" width="9.33203125" bestFit="1" customWidth="1"/>
  </cols>
  <sheetData>
    <row r="1" spans="1:5">
      <c r="A1" t="s">
        <v>181</v>
      </c>
      <c r="B1" t="s">
        <v>182</v>
      </c>
      <c r="C1" t="s">
        <v>40</v>
      </c>
      <c r="D1" t="s">
        <v>41</v>
      </c>
    </row>
    <row r="2" spans="1: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>
      <c r="A3" t="s">
        <v>47</v>
      </c>
      <c r="B3" t="s">
        <v>48</v>
      </c>
      <c r="C3" t="s">
        <v>49</v>
      </c>
      <c r="D3" t="s">
        <v>50</v>
      </c>
      <c r="E3" t="s">
        <v>51</v>
      </c>
    </row>
    <row r="4" spans="1:5">
      <c r="A4" t="s">
        <v>52</v>
      </c>
      <c r="B4" t="s">
        <v>53</v>
      </c>
      <c r="C4" t="s">
        <v>54</v>
      </c>
      <c r="D4" t="s">
        <v>55</v>
      </c>
      <c r="E4" t="s">
        <v>56</v>
      </c>
    </row>
    <row r="5" spans="1: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 spans="1:5">
      <c r="A6" t="s">
        <v>62</v>
      </c>
      <c r="B6" t="s">
        <v>63</v>
      </c>
      <c r="C6" t="s">
        <v>64</v>
      </c>
      <c r="D6" t="s">
        <v>65</v>
      </c>
      <c r="E6" t="s">
        <v>66</v>
      </c>
    </row>
    <row r="7" spans="1:5">
      <c r="A7" t="s">
        <v>67</v>
      </c>
      <c r="B7" t="s">
        <v>68</v>
      </c>
      <c r="C7" t="s">
        <v>69</v>
      </c>
      <c r="D7" t="s">
        <v>70</v>
      </c>
      <c r="E7" t="s">
        <v>71</v>
      </c>
    </row>
    <row r="8" spans="1:5">
      <c r="A8" t="s">
        <v>72</v>
      </c>
      <c r="B8" t="s">
        <v>73</v>
      </c>
      <c r="C8" t="s">
        <v>74</v>
      </c>
      <c r="D8" t="s">
        <v>75</v>
      </c>
      <c r="E8" t="s">
        <v>76</v>
      </c>
    </row>
    <row r="9" spans="1:5">
      <c r="A9" t="s">
        <v>77</v>
      </c>
      <c r="B9" t="s">
        <v>78</v>
      </c>
      <c r="C9" t="s">
        <v>79</v>
      </c>
      <c r="D9" t="s">
        <v>80</v>
      </c>
      <c r="E9" t="s">
        <v>81</v>
      </c>
    </row>
    <row r="10" spans="1:5">
      <c r="A10" t="s">
        <v>82</v>
      </c>
      <c r="B10" t="s">
        <v>83</v>
      </c>
      <c r="C10" t="s">
        <v>84</v>
      </c>
      <c r="D10" t="s">
        <v>85</v>
      </c>
      <c r="E10" t="s">
        <v>86</v>
      </c>
    </row>
    <row r="11" spans="1:5">
      <c r="A11" t="s">
        <v>87</v>
      </c>
      <c r="B11" t="s">
        <v>88</v>
      </c>
      <c r="C11" t="s">
        <v>89</v>
      </c>
      <c r="D11" t="s">
        <v>90</v>
      </c>
      <c r="E11" t="s">
        <v>91</v>
      </c>
    </row>
    <row r="12" spans="1:5">
      <c r="A12" t="s">
        <v>92</v>
      </c>
      <c r="B12" t="s">
        <v>93</v>
      </c>
      <c r="C12" t="s">
        <v>94</v>
      </c>
      <c r="D12" t="s">
        <v>95</v>
      </c>
      <c r="E12" t="s">
        <v>96</v>
      </c>
    </row>
    <row r="13" spans="1:5">
      <c r="A13" t="s">
        <v>97</v>
      </c>
      <c r="B13" t="s">
        <v>98</v>
      </c>
      <c r="C13" t="s">
        <v>99</v>
      </c>
      <c r="D13" t="s">
        <v>100</v>
      </c>
      <c r="E13" t="s">
        <v>101</v>
      </c>
    </row>
    <row r="14" spans="1:5">
      <c r="A14" t="s">
        <v>102</v>
      </c>
      <c r="B14" t="s">
        <v>103</v>
      </c>
      <c r="C14" t="s">
        <v>104</v>
      </c>
      <c r="D14" t="s">
        <v>105</v>
      </c>
      <c r="E14" t="s">
        <v>106</v>
      </c>
    </row>
    <row r="15" spans="1:5">
      <c r="A15" t="s">
        <v>107</v>
      </c>
      <c r="B15" t="s">
        <v>108</v>
      </c>
      <c r="C15" t="s">
        <v>109</v>
      </c>
      <c r="D15" t="s">
        <v>110</v>
      </c>
      <c r="E15" t="s">
        <v>111</v>
      </c>
    </row>
    <row r="16" spans="1:5">
      <c r="A16" t="s">
        <v>112</v>
      </c>
      <c r="B16" t="s">
        <v>113</v>
      </c>
      <c r="C16" t="s">
        <v>114</v>
      </c>
      <c r="D16" t="s">
        <v>115</v>
      </c>
      <c r="E16" t="s">
        <v>116</v>
      </c>
    </row>
    <row r="17" spans="1:5">
      <c r="A17" t="s">
        <v>117</v>
      </c>
      <c r="B17" t="s">
        <v>118</v>
      </c>
      <c r="C17" t="s">
        <v>119</v>
      </c>
      <c r="D17" t="s">
        <v>120</v>
      </c>
      <c r="E17" t="s">
        <v>121</v>
      </c>
    </row>
    <row r="18" spans="1:5">
      <c r="A18" t="s">
        <v>122</v>
      </c>
      <c r="B18" t="s">
        <v>123</v>
      </c>
      <c r="C18" t="s">
        <v>124</v>
      </c>
      <c r="D18" t="s">
        <v>85</v>
      </c>
      <c r="E18" t="s">
        <v>125</v>
      </c>
    </row>
    <row r="19" spans="1:5">
      <c r="A19" t="s">
        <v>126</v>
      </c>
      <c r="B19" t="s">
        <v>127</v>
      </c>
      <c r="C19" t="s">
        <v>128</v>
      </c>
      <c r="D19" t="s">
        <v>129</v>
      </c>
      <c r="E19" t="s">
        <v>130</v>
      </c>
    </row>
    <row r="20" spans="1:5">
      <c r="A20" t="s">
        <v>131</v>
      </c>
      <c r="B20" t="s">
        <v>132</v>
      </c>
      <c r="C20" t="s">
        <v>133</v>
      </c>
      <c r="D20" t="s">
        <v>134</v>
      </c>
      <c r="E20" t="s">
        <v>135</v>
      </c>
    </row>
    <row r="21" spans="1:5">
      <c r="A21" t="s">
        <v>136</v>
      </c>
      <c r="B21" t="s">
        <v>137</v>
      </c>
      <c r="C21" t="s">
        <v>138</v>
      </c>
      <c r="D21" t="s">
        <v>139</v>
      </c>
      <c r="E21" t="s">
        <v>140</v>
      </c>
    </row>
    <row r="22" spans="1:5">
      <c r="A22" t="s">
        <v>141</v>
      </c>
      <c r="B22" t="s">
        <v>142</v>
      </c>
      <c r="C22" t="s">
        <v>143</v>
      </c>
      <c r="D22" t="s">
        <v>144</v>
      </c>
      <c r="E22" t="s">
        <v>145</v>
      </c>
    </row>
    <row r="23" spans="1:5">
      <c r="A23" t="s">
        <v>146</v>
      </c>
      <c r="B23" t="s">
        <v>147</v>
      </c>
      <c r="C23" t="s">
        <v>148</v>
      </c>
      <c r="D23" t="s">
        <v>149</v>
      </c>
      <c r="E23" t="s">
        <v>150</v>
      </c>
    </row>
    <row r="24" spans="1:5">
      <c r="A24" t="s">
        <v>151</v>
      </c>
      <c r="B24" t="s">
        <v>152</v>
      </c>
      <c r="C24" t="s">
        <v>153</v>
      </c>
      <c r="D24" t="s">
        <v>154</v>
      </c>
      <c r="E24" t="s">
        <v>155</v>
      </c>
    </row>
    <row r="25" spans="1:5">
      <c r="A25" t="s">
        <v>156</v>
      </c>
      <c r="B25" t="s">
        <v>157</v>
      </c>
      <c r="C25" t="s">
        <v>158</v>
      </c>
      <c r="D25" t="s">
        <v>159</v>
      </c>
      <c r="E25" t="s">
        <v>160</v>
      </c>
    </row>
    <row r="26" spans="1:5">
      <c r="A26" t="s">
        <v>161</v>
      </c>
      <c r="B26" t="s">
        <v>162</v>
      </c>
      <c r="C26" t="s">
        <v>163</v>
      </c>
      <c r="D26" t="s">
        <v>164</v>
      </c>
      <c r="E26" t="s">
        <v>165</v>
      </c>
    </row>
    <row r="27" spans="1:5">
      <c r="A27" t="s">
        <v>166</v>
      </c>
      <c r="B27" t="s">
        <v>167</v>
      </c>
      <c r="C27" t="s">
        <v>168</v>
      </c>
      <c r="D27" t="s">
        <v>169</v>
      </c>
      <c r="E27" t="s">
        <v>170</v>
      </c>
    </row>
    <row r="28" spans="1:5">
      <c r="A28" t="s">
        <v>171</v>
      </c>
      <c r="B28" t="s">
        <v>172</v>
      </c>
      <c r="C28" t="s">
        <v>173</v>
      </c>
      <c r="D28" t="s">
        <v>174</v>
      </c>
      <c r="E28" t="s">
        <v>175</v>
      </c>
    </row>
    <row r="29" spans="1:5">
      <c r="A29" t="s">
        <v>176</v>
      </c>
      <c r="B29" t="s">
        <v>177</v>
      </c>
      <c r="C29" t="s">
        <v>178</v>
      </c>
      <c r="D29" t="s">
        <v>179</v>
      </c>
      <c r="E29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3BE8-0020-4ABC-AA23-F6DB1C1C67F9}">
  <dimension ref="A1:J15"/>
  <sheetViews>
    <sheetView workbookViewId="0">
      <selection activeCell="J12" sqref="J12:J15"/>
    </sheetView>
  </sheetViews>
  <sheetFormatPr defaultRowHeight="14.4"/>
  <cols>
    <col min="1" max="1" width="14.33203125" bestFit="1" customWidth="1"/>
    <col min="2" max="2" width="11.33203125" bestFit="1" customWidth="1"/>
    <col min="3" max="3" width="10.109375" bestFit="1" customWidth="1"/>
    <col min="4" max="4" width="12.6640625" bestFit="1" customWidth="1"/>
    <col min="5" max="5" width="10.109375" bestFit="1" customWidth="1"/>
    <col min="6" max="6" width="13.33203125" bestFit="1" customWidth="1"/>
    <col min="7" max="7" width="10.6640625" bestFit="1" customWidth="1"/>
    <col min="8" max="8" width="19.5546875" bestFit="1" customWidth="1"/>
    <col min="10" max="10" width="10" bestFit="1" customWidth="1"/>
  </cols>
  <sheetData>
    <row r="1" spans="1:10" ht="28.2" thickBot="1">
      <c r="A1" s="15" t="s">
        <v>183</v>
      </c>
      <c r="B1" s="15" t="s">
        <v>184</v>
      </c>
      <c r="C1" s="15" t="s">
        <v>185</v>
      </c>
      <c r="D1" s="15" t="s">
        <v>186</v>
      </c>
      <c r="E1" s="15" t="s">
        <v>187</v>
      </c>
      <c r="F1" s="15" t="s">
        <v>188</v>
      </c>
      <c r="G1" s="15" t="s">
        <v>189</v>
      </c>
      <c r="H1" s="15" t="s">
        <v>190</v>
      </c>
    </row>
    <row r="2" spans="1:10" ht="15" thickBot="1">
      <c r="A2" s="14">
        <v>1</v>
      </c>
      <c r="B2" s="14">
        <v>2</v>
      </c>
      <c r="C2" s="16">
        <v>46023</v>
      </c>
      <c r="D2" s="16">
        <v>46024</v>
      </c>
      <c r="E2" s="16">
        <v>46023</v>
      </c>
      <c r="F2" s="16">
        <v>46023</v>
      </c>
      <c r="G2" s="14" t="s">
        <v>191</v>
      </c>
      <c r="H2" s="14">
        <v>0.99999999999998845</v>
      </c>
    </row>
    <row r="3" spans="1:10" ht="15" thickBot="1">
      <c r="A3" s="14">
        <v>2</v>
      </c>
      <c r="B3" s="14">
        <v>4</v>
      </c>
      <c r="C3" s="16">
        <v>46024</v>
      </c>
      <c r="D3" s="16">
        <v>46027</v>
      </c>
      <c r="E3" s="16">
        <v>46054</v>
      </c>
      <c r="F3" s="16">
        <v>46388</v>
      </c>
      <c r="G3" s="14" t="s">
        <v>192</v>
      </c>
      <c r="H3" s="14">
        <v>7.1249999999999911</v>
      </c>
    </row>
    <row r="4" spans="1:10" ht="15" thickBot="1">
      <c r="A4" s="14">
        <v>3</v>
      </c>
      <c r="B4" s="14">
        <v>8</v>
      </c>
      <c r="C4" s="16">
        <v>46025</v>
      </c>
      <c r="D4" s="16">
        <v>46028</v>
      </c>
      <c r="E4" s="16">
        <v>46082</v>
      </c>
      <c r="F4" s="16">
        <v>46753</v>
      </c>
      <c r="G4" s="14" t="s">
        <v>193</v>
      </c>
      <c r="H4" s="14">
        <v>13.249999999999993</v>
      </c>
    </row>
    <row r="5" spans="1:10" ht="15" thickBot="1">
      <c r="A5" s="14">
        <v>4</v>
      </c>
      <c r="B5" s="14">
        <v>16</v>
      </c>
      <c r="C5" s="16">
        <v>46026</v>
      </c>
      <c r="D5" s="16">
        <v>46029</v>
      </c>
      <c r="E5" s="16">
        <v>46113</v>
      </c>
      <c r="F5" s="16">
        <v>47119</v>
      </c>
      <c r="G5" s="14" t="s">
        <v>194</v>
      </c>
      <c r="H5" s="14">
        <v>19.374999999999996</v>
      </c>
    </row>
    <row r="6" spans="1:10" ht="15" thickBot="1">
      <c r="A6" s="14">
        <v>5</v>
      </c>
      <c r="B6" s="14">
        <v>32</v>
      </c>
      <c r="C6" s="16">
        <v>46027</v>
      </c>
      <c r="D6" s="16">
        <v>46030</v>
      </c>
      <c r="E6" s="16">
        <v>46143</v>
      </c>
      <c r="F6" s="16">
        <v>47484</v>
      </c>
      <c r="G6" s="14" t="s">
        <v>195</v>
      </c>
      <c r="H6" s="14">
        <v>25.5</v>
      </c>
    </row>
    <row r="7" spans="1:10" ht="15" thickBot="1">
      <c r="A7" s="14">
        <v>6</v>
      </c>
      <c r="B7" s="14">
        <v>64</v>
      </c>
      <c r="C7" s="16">
        <v>46028</v>
      </c>
      <c r="D7" s="16">
        <v>46031</v>
      </c>
      <c r="E7" s="16">
        <v>46174</v>
      </c>
      <c r="F7" s="16">
        <v>47849</v>
      </c>
      <c r="G7" s="14" t="s">
        <v>196</v>
      </c>
      <c r="H7" s="14">
        <v>31.625</v>
      </c>
    </row>
    <row r="8" spans="1:10" ht="15" thickBot="1">
      <c r="A8" s="14">
        <v>7</v>
      </c>
      <c r="B8" s="14">
        <v>128</v>
      </c>
      <c r="C8" s="16">
        <v>46029</v>
      </c>
      <c r="D8" s="16">
        <v>46034</v>
      </c>
      <c r="E8" s="16">
        <v>46204</v>
      </c>
      <c r="F8" s="16">
        <v>48214</v>
      </c>
      <c r="G8" s="14" t="s">
        <v>197</v>
      </c>
      <c r="H8" s="14">
        <v>37.750000000000007</v>
      </c>
    </row>
    <row r="9" spans="1:10" ht="15" thickBot="1">
      <c r="A9" s="14">
        <v>8</v>
      </c>
      <c r="B9" s="14">
        <v>256</v>
      </c>
      <c r="C9" s="16">
        <v>46030</v>
      </c>
      <c r="D9" s="16">
        <v>46035</v>
      </c>
      <c r="E9" s="16">
        <v>46235</v>
      </c>
      <c r="F9" s="16">
        <v>48580</v>
      </c>
      <c r="G9" s="14" t="s">
        <v>198</v>
      </c>
      <c r="H9" s="14">
        <v>43.875000000000007</v>
      </c>
    </row>
    <row r="10" spans="1:10" ht="15" thickBot="1">
      <c r="A10" s="14">
        <v>9</v>
      </c>
      <c r="B10" s="14">
        <v>512</v>
      </c>
      <c r="C10" s="16">
        <v>46031</v>
      </c>
      <c r="D10" s="16">
        <v>46036</v>
      </c>
      <c r="E10" s="16">
        <v>46266</v>
      </c>
      <c r="F10" s="16">
        <v>48945</v>
      </c>
      <c r="G10" s="14" t="s">
        <v>199</v>
      </c>
      <c r="H10" s="14">
        <v>50.000000000000007</v>
      </c>
    </row>
    <row r="12" spans="1:10">
      <c r="J12" t="s">
        <v>200</v>
      </c>
    </row>
    <row r="13" spans="1:10">
      <c r="J13" t="s">
        <v>7</v>
      </c>
    </row>
    <row r="14" spans="1:10">
      <c r="J14" t="s">
        <v>9</v>
      </c>
    </row>
    <row r="15" spans="1:10">
      <c r="J15" t="s">
        <v>201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5E7B-937C-4B68-8F8C-6684494D192D}">
  <dimension ref="A1:A9"/>
  <sheetViews>
    <sheetView workbookViewId="0">
      <selection sqref="A1:A9"/>
    </sheetView>
  </sheetViews>
  <sheetFormatPr defaultRowHeight="14.4"/>
  <cols>
    <col min="1" max="1" width="10.33203125" bestFit="1" customWidth="1"/>
  </cols>
  <sheetData>
    <row r="1" spans="1:1">
      <c r="A1" s="19">
        <f ca="1">TODAY()</f>
        <v>46195</v>
      </c>
    </row>
    <row r="2" spans="1:1">
      <c r="A2" s="19">
        <v>46195</v>
      </c>
    </row>
    <row r="3" spans="1:1">
      <c r="A3" s="19">
        <v>46196</v>
      </c>
    </row>
    <row r="4" spans="1:1">
      <c r="A4" s="19">
        <v>46197</v>
      </c>
    </row>
    <row r="5" spans="1:1">
      <c r="A5" s="19">
        <v>46198</v>
      </c>
    </row>
    <row r="6" spans="1:1">
      <c r="A6" s="19">
        <v>46199</v>
      </c>
    </row>
    <row r="7" spans="1:1">
      <c r="A7" s="19">
        <v>46200</v>
      </c>
    </row>
    <row r="8" spans="1:1">
      <c r="A8" s="19">
        <v>46201</v>
      </c>
    </row>
    <row r="9" spans="1:1">
      <c r="A9" s="19">
        <v>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49C0-9709-480B-B2EB-E6CC416330B0}">
  <dimension ref="A1:H20"/>
  <sheetViews>
    <sheetView workbookViewId="0">
      <selection activeCell="H20" sqref="A1:H20"/>
    </sheetView>
  </sheetViews>
  <sheetFormatPr defaultRowHeight="14.4"/>
  <cols>
    <col min="1" max="1" width="12.21875" bestFit="1" customWidth="1"/>
    <col min="2" max="2" width="10.21875" customWidth="1"/>
    <col min="3" max="3" width="15.5546875" bestFit="1" customWidth="1"/>
    <col min="4" max="4" width="9.33203125" customWidth="1"/>
    <col min="5" max="5" width="15.21875" customWidth="1"/>
    <col min="8" max="8" width="9" bestFit="1" customWidth="1"/>
  </cols>
  <sheetData>
    <row r="1" spans="1:8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H1" t="s">
        <v>207</v>
      </c>
    </row>
    <row r="2" spans="1:8">
      <c r="A2" t="s">
        <v>225</v>
      </c>
      <c r="B2" t="s">
        <v>226</v>
      </c>
      <c r="C2" t="s">
        <v>227</v>
      </c>
      <c r="D2" s="21">
        <v>16000</v>
      </c>
      <c r="E2" t="s">
        <v>211</v>
      </c>
      <c r="H2" s="20">
        <v>44927</v>
      </c>
    </row>
    <row r="3" spans="1:8">
      <c r="A3" t="s">
        <v>236</v>
      </c>
      <c r="B3" t="s">
        <v>212</v>
      </c>
      <c r="C3" t="s">
        <v>213</v>
      </c>
      <c r="D3" s="21">
        <v>1890</v>
      </c>
      <c r="E3" t="s">
        <v>211</v>
      </c>
      <c r="H3" s="20">
        <v>44928</v>
      </c>
    </row>
    <row r="4" spans="1:8">
      <c r="A4" t="s">
        <v>225</v>
      </c>
      <c r="B4" t="s">
        <v>226</v>
      </c>
      <c r="C4" t="s">
        <v>228</v>
      </c>
      <c r="D4" s="21">
        <v>1650</v>
      </c>
      <c r="E4" t="s">
        <v>211</v>
      </c>
      <c r="H4" s="20">
        <v>44929</v>
      </c>
    </row>
    <row r="5" spans="1:8">
      <c r="A5" t="s">
        <v>237</v>
      </c>
      <c r="B5" t="s">
        <v>226</v>
      </c>
      <c r="C5" t="s">
        <v>238</v>
      </c>
      <c r="D5" s="21">
        <v>1074</v>
      </c>
      <c r="E5" t="s">
        <v>211</v>
      </c>
      <c r="H5" s="20">
        <v>44930</v>
      </c>
    </row>
    <row r="6" spans="1:8">
      <c r="A6" t="s">
        <v>208</v>
      </c>
      <c r="B6" t="s">
        <v>212</v>
      </c>
      <c r="C6" t="s">
        <v>213</v>
      </c>
      <c r="D6" s="21">
        <v>1000</v>
      </c>
      <c r="E6" t="s">
        <v>214</v>
      </c>
      <c r="H6" s="20">
        <v>44931</v>
      </c>
    </row>
    <row r="7" spans="1:8">
      <c r="A7" t="s">
        <v>220</v>
      </c>
      <c r="B7" t="s">
        <v>209</v>
      </c>
      <c r="C7" t="s">
        <v>221</v>
      </c>
      <c r="D7">
        <v>890</v>
      </c>
      <c r="E7" t="s">
        <v>211</v>
      </c>
      <c r="H7" s="20">
        <v>44932</v>
      </c>
    </row>
    <row r="8" spans="1:8">
      <c r="A8" t="s">
        <v>229</v>
      </c>
      <c r="B8" t="s">
        <v>230</v>
      </c>
      <c r="C8" t="s">
        <v>231</v>
      </c>
      <c r="D8">
        <v>780</v>
      </c>
      <c r="E8" t="s">
        <v>211</v>
      </c>
      <c r="H8" s="20">
        <v>44933</v>
      </c>
    </row>
    <row r="9" spans="1:8">
      <c r="A9" t="s">
        <v>240</v>
      </c>
      <c r="B9" t="s">
        <v>209</v>
      </c>
      <c r="C9" t="s">
        <v>217</v>
      </c>
      <c r="D9">
        <v>530</v>
      </c>
      <c r="E9" t="s">
        <v>218</v>
      </c>
      <c r="H9" s="20">
        <v>44934</v>
      </c>
    </row>
    <row r="10" spans="1:8">
      <c r="A10" t="s">
        <v>215</v>
      </c>
      <c r="B10" t="s">
        <v>216</v>
      </c>
      <c r="C10" t="s">
        <v>217</v>
      </c>
      <c r="D10">
        <v>456</v>
      </c>
      <c r="E10" t="s">
        <v>218</v>
      </c>
      <c r="H10" s="20">
        <v>44935</v>
      </c>
    </row>
    <row r="11" spans="1:8">
      <c r="A11" t="s">
        <v>208</v>
      </c>
      <c r="B11" t="s">
        <v>209</v>
      </c>
      <c r="C11" t="s">
        <v>210</v>
      </c>
      <c r="D11">
        <v>300</v>
      </c>
      <c r="E11" t="s">
        <v>211</v>
      </c>
      <c r="H11" s="20">
        <v>44936</v>
      </c>
    </row>
    <row r="12" spans="1:8">
      <c r="A12" t="s">
        <v>232</v>
      </c>
      <c r="B12" t="s">
        <v>209</v>
      </c>
      <c r="C12" t="s">
        <v>210</v>
      </c>
      <c r="D12">
        <v>257</v>
      </c>
      <c r="E12" t="s">
        <v>211</v>
      </c>
      <c r="H12" s="20">
        <v>44937</v>
      </c>
    </row>
    <row r="13" spans="1:8">
      <c r="A13" t="s">
        <v>233</v>
      </c>
      <c r="B13" t="s">
        <v>230</v>
      </c>
      <c r="C13" t="s">
        <v>234</v>
      </c>
      <c r="D13">
        <v>120</v>
      </c>
      <c r="E13" t="s">
        <v>211</v>
      </c>
      <c r="H13" s="20">
        <v>44938</v>
      </c>
    </row>
    <row r="14" spans="1:8">
      <c r="A14" t="s">
        <v>241</v>
      </c>
      <c r="B14" t="s">
        <v>230</v>
      </c>
      <c r="C14" t="s">
        <v>242</v>
      </c>
      <c r="D14">
        <v>120</v>
      </c>
      <c r="E14" t="s">
        <v>211</v>
      </c>
      <c r="H14" s="20">
        <v>44939</v>
      </c>
    </row>
    <row r="15" spans="1:8">
      <c r="A15" t="s">
        <v>222</v>
      </c>
      <c r="B15" t="s">
        <v>209</v>
      </c>
      <c r="C15" t="s">
        <v>223</v>
      </c>
      <c r="D15">
        <v>100</v>
      </c>
      <c r="E15" t="s">
        <v>211</v>
      </c>
      <c r="H15" s="20">
        <v>44940</v>
      </c>
    </row>
    <row r="16" spans="1:8">
      <c r="A16" t="s">
        <v>243</v>
      </c>
      <c r="B16" t="s">
        <v>209</v>
      </c>
      <c r="C16" t="s">
        <v>244</v>
      </c>
      <c r="D16">
        <v>56</v>
      </c>
      <c r="E16" t="s">
        <v>218</v>
      </c>
      <c r="H16" s="20">
        <v>44941</v>
      </c>
    </row>
    <row r="17" spans="1:8">
      <c r="A17" t="s">
        <v>237</v>
      </c>
      <c r="B17" t="s">
        <v>230</v>
      </c>
      <c r="C17" t="s">
        <v>239</v>
      </c>
      <c r="D17">
        <v>50</v>
      </c>
      <c r="E17" t="s">
        <v>218</v>
      </c>
      <c r="H17" s="20">
        <v>44942</v>
      </c>
    </row>
    <row r="18" spans="1:8">
      <c r="A18" t="s">
        <v>224</v>
      </c>
      <c r="B18" t="s">
        <v>209</v>
      </c>
      <c r="C18" t="s">
        <v>216</v>
      </c>
      <c r="D18">
        <v>30</v>
      </c>
      <c r="E18" t="s">
        <v>218</v>
      </c>
      <c r="H18" s="20">
        <v>44943</v>
      </c>
    </row>
    <row r="19" spans="1:8">
      <c r="A19" t="s">
        <v>215</v>
      </c>
      <c r="B19" t="s">
        <v>216</v>
      </c>
      <c r="C19" t="s">
        <v>219</v>
      </c>
      <c r="D19">
        <v>26</v>
      </c>
      <c r="E19" t="s">
        <v>211</v>
      </c>
      <c r="H19" s="20">
        <v>44944</v>
      </c>
    </row>
    <row r="20" spans="1:8">
      <c r="A20" t="s">
        <v>233</v>
      </c>
      <c r="B20" t="s">
        <v>209</v>
      </c>
      <c r="C20" t="s">
        <v>235</v>
      </c>
      <c r="D20">
        <v>10</v>
      </c>
      <c r="E20" t="s">
        <v>211</v>
      </c>
      <c r="H20" s="20">
        <v>44945</v>
      </c>
    </row>
  </sheetData>
  <sortState xmlns:xlrd2="http://schemas.microsoft.com/office/spreadsheetml/2017/richdata2" ref="H2:H20">
    <sortCondition descending="1" ref="H10:H20"/>
  </sortState>
  <conditionalFormatting sqref="E2:E20">
    <cfRule type="cellIs" dxfId="0" priority="3" operator="greaterThan">
      <formula>10000</formula>
    </cfRule>
    <cfRule type="cellIs" dxfId="1" priority="2" operator="greaterThan">
      <formula>10000</formula>
    </cfRule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BBED-590C-410D-97B6-30A31DF6C1B4}">
  <dimension ref="A1:H20"/>
  <sheetViews>
    <sheetView workbookViewId="0"/>
  </sheetViews>
  <sheetFormatPr defaultRowHeight="14.4"/>
  <cols>
    <col min="1" max="1" width="12.21875" bestFit="1" customWidth="1"/>
    <col min="3" max="3" width="15.5546875" bestFit="1" customWidth="1"/>
    <col min="4" max="4" width="7.44140625" bestFit="1" customWidth="1"/>
    <col min="5" max="5" width="13.44140625" bestFit="1" customWidth="1"/>
    <col min="8" max="8" width="9" bestFit="1" customWidth="1"/>
  </cols>
  <sheetData>
    <row r="1" spans="1:8">
      <c r="A1" s="22" t="s">
        <v>202</v>
      </c>
      <c r="B1" t="s">
        <v>203</v>
      </c>
      <c r="C1" t="s">
        <v>204</v>
      </c>
      <c r="D1" t="s">
        <v>205</v>
      </c>
      <c r="E1" t="s">
        <v>206</v>
      </c>
      <c r="H1" t="s">
        <v>207</v>
      </c>
    </row>
    <row r="2" spans="1:8">
      <c r="A2" s="20">
        <v>44927</v>
      </c>
      <c r="B2" t="s">
        <v>226</v>
      </c>
      <c r="C2" t="s">
        <v>227</v>
      </c>
      <c r="D2" s="21">
        <v>16000</v>
      </c>
      <c r="E2" t="s">
        <v>211</v>
      </c>
      <c r="H2" s="20">
        <v>44927</v>
      </c>
    </row>
    <row r="3" spans="1:8">
      <c r="A3" s="20">
        <v>44928</v>
      </c>
      <c r="B3" t="s">
        <v>212</v>
      </c>
      <c r="C3" t="s">
        <v>213</v>
      </c>
      <c r="D3" s="21">
        <v>1890</v>
      </c>
      <c r="E3" t="s">
        <v>211</v>
      </c>
      <c r="H3" s="20">
        <v>44928</v>
      </c>
    </row>
    <row r="4" spans="1:8">
      <c r="A4" s="20">
        <v>44929</v>
      </c>
      <c r="B4" t="s">
        <v>226</v>
      </c>
      <c r="C4" t="s">
        <v>228</v>
      </c>
      <c r="D4" s="21">
        <v>1650</v>
      </c>
      <c r="E4" t="s">
        <v>211</v>
      </c>
      <c r="H4" s="20">
        <v>44929</v>
      </c>
    </row>
    <row r="5" spans="1:8">
      <c r="A5" s="20">
        <v>44930</v>
      </c>
      <c r="B5" t="s">
        <v>226</v>
      </c>
      <c r="C5" t="s">
        <v>238</v>
      </c>
      <c r="D5" s="21">
        <v>1074</v>
      </c>
      <c r="E5" t="s">
        <v>211</v>
      </c>
      <c r="H5" s="20">
        <v>44930</v>
      </c>
    </row>
    <row r="6" spans="1:8">
      <c r="A6" s="20">
        <v>44931</v>
      </c>
      <c r="B6" t="s">
        <v>212</v>
      </c>
      <c r="C6" t="s">
        <v>213</v>
      </c>
      <c r="D6" s="21">
        <v>1000</v>
      </c>
      <c r="E6" t="s">
        <v>214</v>
      </c>
      <c r="H6" s="20">
        <v>44931</v>
      </c>
    </row>
    <row r="7" spans="1:8">
      <c r="A7" s="20">
        <v>44932</v>
      </c>
      <c r="B7" t="s">
        <v>209</v>
      </c>
      <c r="C7" t="s">
        <v>221</v>
      </c>
      <c r="D7">
        <v>890</v>
      </c>
      <c r="E7" t="s">
        <v>211</v>
      </c>
      <c r="H7" s="20">
        <v>44932</v>
      </c>
    </row>
    <row r="8" spans="1:8">
      <c r="A8" s="20">
        <v>44933</v>
      </c>
      <c r="B8" t="s">
        <v>230</v>
      </c>
      <c r="C8" t="s">
        <v>231</v>
      </c>
      <c r="D8">
        <v>780</v>
      </c>
      <c r="E8" t="s">
        <v>211</v>
      </c>
      <c r="H8" s="20">
        <v>44933</v>
      </c>
    </row>
    <row r="9" spans="1:8">
      <c r="A9" s="20">
        <v>44934</v>
      </c>
      <c r="B9" t="s">
        <v>209</v>
      </c>
      <c r="C9" t="s">
        <v>217</v>
      </c>
      <c r="D9">
        <v>530</v>
      </c>
      <c r="E9" t="s">
        <v>218</v>
      </c>
      <c r="H9" s="20">
        <v>44934</v>
      </c>
    </row>
    <row r="10" spans="1:8">
      <c r="A10" s="20">
        <v>44935</v>
      </c>
      <c r="B10" t="s">
        <v>216</v>
      </c>
      <c r="C10" t="s">
        <v>217</v>
      </c>
      <c r="D10">
        <v>456</v>
      </c>
      <c r="E10" t="s">
        <v>218</v>
      </c>
      <c r="H10" s="20">
        <v>44935</v>
      </c>
    </row>
    <row r="11" spans="1:8">
      <c r="A11" s="20">
        <v>44936</v>
      </c>
      <c r="B11" t="s">
        <v>209</v>
      </c>
      <c r="C11" t="s">
        <v>210</v>
      </c>
      <c r="D11">
        <v>300</v>
      </c>
      <c r="E11" t="s">
        <v>211</v>
      </c>
      <c r="H11" s="20">
        <v>44936</v>
      </c>
    </row>
    <row r="12" spans="1:8">
      <c r="A12" s="20">
        <v>44937</v>
      </c>
      <c r="B12" t="s">
        <v>209</v>
      </c>
      <c r="C12" t="s">
        <v>210</v>
      </c>
      <c r="D12">
        <v>257</v>
      </c>
      <c r="E12" t="s">
        <v>211</v>
      </c>
      <c r="H12" s="20">
        <v>44937</v>
      </c>
    </row>
    <row r="13" spans="1:8">
      <c r="A13" s="20">
        <v>44938</v>
      </c>
      <c r="B13" t="s">
        <v>230</v>
      </c>
      <c r="C13" t="s">
        <v>234</v>
      </c>
      <c r="D13">
        <v>120</v>
      </c>
      <c r="E13" t="s">
        <v>211</v>
      </c>
      <c r="H13" s="20">
        <v>44938</v>
      </c>
    </row>
    <row r="14" spans="1:8">
      <c r="A14" s="20">
        <v>44939</v>
      </c>
      <c r="B14" t="s">
        <v>230</v>
      </c>
      <c r="C14" t="s">
        <v>242</v>
      </c>
      <c r="D14">
        <v>120</v>
      </c>
      <c r="E14" t="s">
        <v>211</v>
      </c>
      <c r="H14" s="20">
        <v>44939</v>
      </c>
    </row>
    <row r="15" spans="1:8">
      <c r="A15" s="20">
        <v>44940</v>
      </c>
      <c r="B15" t="s">
        <v>209</v>
      </c>
      <c r="C15" t="s">
        <v>223</v>
      </c>
      <c r="D15">
        <v>100</v>
      </c>
      <c r="E15" t="s">
        <v>211</v>
      </c>
      <c r="H15" s="20">
        <v>44940</v>
      </c>
    </row>
    <row r="16" spans="1:8">
      <c r="A16" s="20">
        <v>44941</v>
      </c>
      <c r="B16" t="s">
        <v>209</v>
      </c>
      <c r="C16" t="s">
        <v>244</v>
      </c>
      <c r="D16">
        <v>56</v>
      </c>
      <c r="E16" t="s">
        <v>218</v>
      </c>
      <c r="H16" s="20">
        <v>44941</v>
      </c>
    </row>
    <row r="17" spans="1:8">
      <c r="A17" s="20">
        <v>44942</v>
      </c>
      <c r="B17" t="s">
        <v>230</v>
      </c>
      <c r="C17" t="s">
        <v>239</v>
      </c>
      <c r="D17">
        <v>50</v>
      </c>
      <c r="E17" t="s">
        <v>218</v>
      </c>
      <c r="H17" s="20">
        <v>44942</v>
      </c>
    </row>
    <row r="18" spans="1:8">
      <c r="A18" s="20">
        <v>44943</v>
      </c>
      <c r="B18" t="s">
        <v>209</v>
      </c>
      <c r="C18" t="s">
        <v>216</v>
      </c>
      <c r="D18">
        <v>30</v>
      </c>
      <c r="E18" t="s">
        <v>218</v>
      </c>
      <c r="H18" s="20">
        <v>44943</v>
      </c>
    </row>
    <row r="19" spans="1:8">
      <c r="A19" s="20">
        <v>44944</v>
      </c>
      <c r="B19" t="s">
        <v>216</v>
      </c>
      <c r="C19" t="s">
        <v>219</v>
      </c>
      <c r="D19">
        <v>26</v>
      </c>
      <c r="E19" t="s">
        <v>211</v>
      </c>
      <c r="H19" s="20">
        <v>44944</v>
      </c>
    </row>
    <row r="20" spans="1:8">
      <c r="A20" s="20">
        <v>44945</v>
      </c>
      <c r="B20" t="s">
        <v>209</v>
      </c>
      <c r="C20" t="s">
        <v>235</v>
      </c>
      <c r="D20">
        <v>10</v>
      </c>
      <c r="E20" t="s">
        <v>211</v>
      </c>
      <c r="H20" s="20">
        <v>44945</v>
      </c>
    </row>
  </sheetData>
  <autoFilter ref="A1:E20" xr:uid="{E9CEBBED-590C-410D-97B6-30A31DF6C1B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377F-B4E5-4009-9350-25751DC3B630}">
  <dimension ref="A1:M6"/>
  <sheetViews>
    <sheetView workbookViewId="0">
      <selection activeCell="M5" sqref="M5"/>
    </sheetView>
  </sheetViews>
  <sheetFormatPr defaultRowHeight="14.4"/>
  <cols>
    <col min="1" max="1" width="13" customWidth="1"/>
    <col min="2" max="2" width="11.33203125" customWidth="1"/>
    <col min="3" max="3" width="7.88671875" bestFit="1" customWidth="1"/>
    <col min="4" max="4" width="6.77734375" bestFit="1" customWidth="1"/>
    <col min="5" max="5" width="11.109375" customWidth="1"/>
    <col min="6" max="6" width="13.21875" customWidth="1"/>
    <col min="7" max="7" width="13.109375" customWidth="1"/>
    <col min="8" max="8" width="11.6640625" customWidth="1"/>
    <col min="10" max="10" width="11.5546875" customWidth="1"/>
    <col min="11" max="11" width="15.33203125" customWidth="1"/>
    <col min="12" max="12" width="16.21875" customWidth="1"/>
    <col min="13" max="13" width="10.44140625" customWidth="1"/>
  </cols>
  <sheetData>
    <row r="1" spans="1:13" ht="42" thickBot="1">
      <c r="A1" s="23" t="s">
        <v>245</v>
      </c>
      <c r="B1" s="23" t="s">
        <v>246</v>
      </c>
      <c r="C1" s="23" t="s">
        <v>247</v>
      </c>
      <c r="D1" s="23" t="s">
        <v>248</v>
      </c>
      <c r="E1" s="23" t="s">
        <v>249</v>
      </c>
      <c r="F1" s="23" t="s">
        <v>250</v>
      </c>
      <c r="G1" s="23" t="s">
        <v>251</v>
      </c>
      <c r="H1" s="23" t="s">
        <v>252</v>
      </c>
      <c r="J1" s="25" t="s">
        <v>256</v>
      </c>
      <c r="K1" s="25" t="s">
        <v>257</v>
      </c>
      <c r="L1" s="25" t="s">
        <v>258</v>
      </c>
      <c r="M1" s="25" t="s">
        <v>259</v>
      </c>
    </row>
    <row r="2" spans="1:13" ht="15" thickBot="1">
      <c r="A2" s="2" t="s">
        <v>35</v>
      </c>
      <c r="B2" s="2">
        <v>5</v>
      </c>
      <c r="C2" s="2">
        <v>45000</v>
      </c>
      <c r="D2" s="24">
        <v>0.18</v>
      </c>
      <c r="E2" s="2">
        <v>2500</v>
      </c>
      <c r="F2" s="2">
        <f>B2*C2</f>
        <v>225000</v>
      </c>
      <c r="G2" s="2">
        <f>F2-E2</f>
        <v>222500</v>
      </c>
      <c r="H2" s="2">
        <f>G2/B2</f>
        <v>44500</v>
      </c>
      <c r="J2">
        <v>150</v>
      </c>
      <c r="K2">
        <v>20</v>
      </c>
      <c r="L2">
        <v>200</v>
      </c>
      <c r="M2">
        <v>12</v>
      </c>
    </row>
    <row r="3" spans="1:13" ht="28.2" thickBot="1">
      <c r="A3" s="2" t="s">
        <v>253</v>
      </c>
      <c r="B3" s="2">
        <v>10</v>
      </c>
      <c r="C3" s="2">
        <v>15000</v>
      </c>
      <c r="D3" s="24">
        <v>0.12</v>
      </c>
      <c r="E3" s="2">
        <v>1000</v>
      </c>
      <c r="F3" s="2">
        <f t="shared" ref="F3:F6" si="0">B3*C3</f>
        <v>150000</v>
      </c>
      <c r="G3" s="2">
        <f t="shared" ref="G3:G6" si="1">F3-E3</f>
        <v>149000</v>
      </c>
      <c r="H3" s="2">
        <f t="shared" ref="H3:H6" si="2">G3/B3</f>
        <v>14900</v>
      </c>
      <c r="J3">
        <v>200</v>
      </c>
      <c r="K3">
        <v>15</v>
      </c>
      <c r="L3">
        <v>150</v>
      </c>
      <c r="M3">
        <v>3</v>
      </c>
    </row>
    <row r="4" spans="1:13" ht="28.2" thickBot="1">
      <c r="A4" s="2" t="s">
        <v>254</v>
      </c>
      <c r="B4" s="2">
        <v>50</v>
      </c>
      <c r="C4" s="2">
        <v>800</v>
      </c>
      <c r="D4" s="24">
        <v>0.18</v>
      </c>
      <c r="E4" s="2">
        <v>150</v>
      </c>
      <c r="F4" s="2">
        <f t="shared" si="0"/>
        <v>40000</v>
      </c>
      <c r="G4" s="2">
        <f t="shared" si="1"/>
        <v>39850</v>
      </c>
      <c r="H4" s="2">
        <f t="shared" si="2"/>
        <v>797</v>
      </c>
      <c r="J4">
        <f>SUM(J2,J3)</f>
        <v>350</v>
      </c>
      <c r="K4">
        <f>K2*K3</f>
        <v>300</v>
      </c>
      <c r="L4">
        <f>L2-L3</f>
        <v>50</v>
      </c>
      <c r="M4">
        <f>M2/M3</f>
        <v>4</v>
      </c>
    </row>
    <row r="5" spans="1:13" ht="15" thickBot="1">
      <c r="A5" s="2" t="s">
        <v>32</v>
      </c>
      <c r="B5" s="2">
        <v>30</v>
      </c>
      <c r="C5" s="2">
        <v>1200</v>
      </c>
      <c r="D5" s="24">
        <v>0.18</v>
      </c>
      <c r="E5" s="2">
        <v>200</v>
      </c>
      <c r="F5" s="2">
        <f t="shared" si="0"/>
        <v>36000</v>
      </c>
      <c r="G5" s="2">
        <f t="shared" si="1"/>
        <v>35800</v>
      </c>
      <c r="H5" s="2">
        <f t="shared" si="2"/>
        <v>1193.3333333333333</v>
      </c>
    </row>
    <row r="6" spans="1:13" ht="15" thickBot="1">
      <c r="A6" s="2" t="s">
        <v>255</v>
      </c>
      <c r="B6" s="2">
        <v>8</v>
      </c>
      <c r="C6" s="2">
        <v>11000</v>
      </c>
      <c r="D6" s="24">
        <v>0.18</v>
      </c>
      <c r="E6" s="2">
        <v>800</v>
      </c>
      <c r="F6" s="2">
        <f t="shared" si="0"/>
        <v>88000</v>
      </c>
      <c r="G6" s="2">
        <f t="shared" si="1"/>
        <v>87200</v>
      </c>
      <c r="H6" s="2">
        <f t="shared" si="2"/>
        <v>10900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33B7-0AAE-431E-8832-16624288E12E}">
  <dimension ref="A1:O20"/>
  <sheetViews>
    <sheetView topLeftCell="A7" workbookViewId="0">
      <selection activeCell="L8" sqref="L8"/>
    </sheetView>
  </sheetViews>
  <sheetFormatPr defaultRowHeight="14.4"/>
  <cols>
    <col min="1" max="1" width="8.109375" bestFit="1" customWidth="1"/>
    <col min="2" max="2" width="12.33203125" bestFit="1" customWidth="1"/>
    <col min="3" max="3" width="12.109375" bestFit="1" customWidth="1"/>
    <col min="4" max="4" width="29.5546875" bestFit="1" customWidth="1"/>
    <col min="5" max="5" width="22.44140625" bestFit="1" customWidth="1"/>
    <col min="6" max="6" width="16.77734375" bestFit="1" customWidth="1"/>
    <col min="7" max="7" width="18.33203125" bestFit="1" customWidth="1"/>
    <col min="8" max="8" width="9.109375" bestFit="1" customWidth="1"/>
    <col min="9" max="9" width="6.109375" bestFit="1" customWidth="1"/>
    <col min="10" max="10" width="7.44140625" bestFit="1" customWidth="1"/>
    <col min="11" max="11" width="5" bestFit="1" customWidth="1"/>
    <col min="12" max="13" width="8.109375" bestFit="1" customWidth="1"/>
    <col min="14" max="14" width="10.21875" bestFit="1" customWidth="1"/>
    <col min="15" max="15" width="12.77734375" bestFit="1" customWidth="1"/>
  </cols>
  <sheetData>
    <row r="1" spans="1:15" ht="27.6">
      <c r="A1" s="26" t="s">
        <v>260</v>
      </c>
      <c r="B1" s="26" t="s">
        <v>261</v>
      </c>
      <c r="C1" s="26" t="s">
        <v>262</v>
      </c>
      <c r="D1" s="26" t="s">
        <v>263</v>
      </c>
      <c r="E1" s="26" t="s">
        <v>264</v>
      </c>
      <c r="F1" s="26" t="s">
        <v>265</v>
      </c>
      <c r="G1" s="26" t="s">
        <v>266</v>
      </c>
      <c r="H1" s="26" t="s">
        <v>267</v>
      </c>
      <c r="I1" s="26" t="s">
        <v>268</v>
      </c>
      <c r="J1" s="26" t="s">
        <v>269</v>
      </c>
      <c r="K1" s="32" t="s">
        <v>272</v>
      </c>
      <c r="L1" s="33" t="s">
        <v>276</v>
      </c>
      <c r="M1" s="33" t="s">
        <v>277</v>
      </c>
      <c r="N1" s="33" t="s">
        <v>278</v>
      </c>
      <c r="O1" s="33" t="s">
        <v>279</v>
      </c>
    </row>
    <row r="2" spans="1:15">
      <c r="A2" s="29" t="s">
        <v>270</v>
      </c>
      <c r="B2" s="30" t="s">
        <v>45</v>
      </c>
      <c r="C2" s="30" t="s">
        <v>46</v>
      </c>
      <c r="D2" s="27" t="str">
        <f>CONCATENATE(A2," ",B2," ",C2)</f>
        <v>MR. JON YANG</v>
      </c>
      <c r="E2" s="27" t="str">
        <f>LOWER(D2)</f>
        <v>mr. jon yang</v>
      </c>
      <c r="F2" s="27" t="str">
        <f>UPPER(E2)</f>
        <v>MR. JON YANG</v>
      </c>
      <c r="G2" s="27" t="str">
        <f>PROPER(F2)</f>
        <v>Mr. Jon Yang</v>
      </c>
      <c r="H2" s="27">
        <f>LEN(D2)</f>
        <v>12</v>
      </c>
      <c r="I2" s="27" t="str">
        <f>LEFT(B2,2)</f>
        <v>JO</v>
      </c>
      <c r="J2" s="27" t="str">
        <f>RIGHT(B2,2)</f>
        <v>ON</v>
      </c>
      <c r="K2" t="str">
        <f>MID(C2,2,3)</f>
        <v>ANG</v>
      </c>
      <c r="L2" t="e">
        <f>FIND("o",D2)</f>
        <v>#VALUE!</v>
      </c>
      <c r="M2">
        <f>SEARCH("o",D2)</f>
        <v>6</v>
      </c>
      <c r="N2" t="str">
        <f>REPLACE(B2,2,1,"I")</f>
        <v>JIN</v>
      </c>
      <c r="O2" t="str">
        <f>SUBSTITUTE(B3,"E","i")</f>
        <v>iUGiNi</v>
      </c>
    </row>
    <row r="3" spans="1:15" ht="27.6">
      <c r="A3" s="29" t="s">
        <v>270</v>
      </c>
      <c r="B3" s="30" t="s">
        <v>50</v>
      </c>
      <c r="C3" s="30" t="s">
        <v>51</v>
      </c>
      <c r="D3" s="27" t="str">
        <f t="shared" ref="D3:D20" si="0">CONCATENATE(A3," ",B3," ",C3)</f>
        <v>MR. EUGENE HUANG</v>
      </c>
      <c r="E3" s="27" t="str">
        <f t="shared" ref="E3:E20" si="1">LOWER(D3)</f>
        <v>mr. eugene huang</v>
      </c>
      <c r="F3" s="27" t="str">
        <f t="shared" ref="F3:F20" si="2">UPPER(E3)</f>
        <v>MR. EUGENE HUANG</v>
      </c>
      <c r="G3" s="27" t="str">
        <f t="shared" ref="G3:G20" si="3">PROPER(F3)</f>
        <v>Mr. Eugene Huang</v>
      </c>
      <c r="H3" s="27">
        <f t="shared" ref="H3:H20" si="4">LEN(D3)</f>
        <v>16</v>
      </c>
      <c r="I3" s="27" t="str">
        <f t="shared" ref="I3:I20" si="5">LEFT(B3,2)</f>
        <v>EU</v>
      </c>
      <c r="J3" s="27" t="str">
        <f t="shared" ref="J3:J20" si="6">RIGHT(B3,2)</f>
        <v>NE</v>
      </c>
      <c r="K3" t="str">
        <f t="shared" ref="K3:K20" si="7">MID(C3,2,3)</f>
        <v>UAN</v>
      </c>
      <c r="M3" t="e">
        <f t="shared" ref="M3:M20" si="8">SEARCH("o",D3)</f>
        <v>#VALUE!</v>
      </c>
      <c r="O3" t="str">
        <f t="shared" ref="O3:O20" si="9">SUBSTITUTE(B4,"E","i")</f>
        <v>RUBiN</v>
      </c>
    </row>
    <row r="4" spans="1:15" ht="27.6">
      <c r="A4" s="29" t="s">
        <v>270</v>
      </c>
      <c r="B4" s="30" t="s">
        <v>55</v>
      </c>
      <c r="C4" s="30" t="s">
        <v>56</v>
      </c>
      <c r="D4" s="27" t="str">
        <f t="shared" si="0"/>
        <v>MR. RUBEN TORRES</v>
      </c>
      <c r="E4" s="27" t="str">
        <f t="shared" si="1"/>
        <v>mr. ruben torres</v>
      </c>
      <c r="F4" s="27" t="str">
        <f t="shared" si="2"/>
        <v>MR. RUBEN TORRES</v>
      </c>
      <c r="G4" s="27" t="str">
        <f t="shared" si="3"/>
        <v>Mr. Ruben Torres</v>
      </c>
      <c r="H4" s="27">
        <f t="shared" si="4"/>
        <v>16</v>
      </c>
      <c r="I4" s="27" t="str">
        <f t="shared" si="5"/>
        <v>RU</v>
      </c>
      <c r="J4" s="27" t="str">
        <f t="shared" si="6"/>
        <v>EN</v>
      </c>
      <c r="K4" t="str">
        <f t="shared" si="7"/>
        <v>ORR</v>
      </c>
      <c r="M4">
        <f t="shared" si="8"/>
        <v>12</v>
      </c>
      <c r="O4" t="str">
        <f t="shared" si="9"/>
        <v>CHRISTY</v>
      </c>
    </row>
    <row r="5" spans="1:15" ht="27.6">
      <c r="A5" s="29" t="s">
        <v>271</v>
      </c>
      <c r="B5" s="30" t="s">
        <v>60</v>
      </c>
      <c r="C5" s="30" t="s">
        <v>61</v>
      </c>
      <c r="D5" s="27" t="str">
        <f t="shared" si="0"/>
        <v>MS. CHRISTY ZHU</v>
      </c>
      <c r="E5" s="27" t="str">
        <f t="shared" si="1"/>
        <v>ms. christy zhu</v>
      </c>
      <c r="F5" s="27" t="str">
        <f t="shared" si="2"/>
        <v>MS. CHRISTY ZHU</v>
      </c>
      <c r="G5" s="27" t="str">
        <f t="shared" si="3"/>
        <v>Ms. Christy Zhu</v>
      </c>
      <c r="H5" s="27">
        <f t="shared" si="4"/>
        <v>15</v>
      </c>
      <c r="I5" s="27" t="str">
        <f t="shared" si="5"/>
        <v>CH</v>
      </c>
      <c r="J5" s="27" t="str">
        <f t="shared" si="6"/>
        <v>TY</v>
      </c>
      <c r="K5" t="str">
        <f t="shared" si="7"/>
        <v>HU</v>
      </c>
      <c r="M5" t="e">
        <f t="shared" si="8"/>
        <v>#VALUE!</v>
      </c>
      <c r="O5" t="str">
        <f t="shared" si="9"/>
        <v>iLIZABiTH</v>
      </c>
    </row>
    <row r="6" spans="1:15" ht="41.4">
      <c r="A6" s="28" t="s">
        <v>273</v>
      </c>
      <c r="B6" t="s">
        <v>65</v>
      </c>
      <c r="C6" t="s">
        <v>66</v>
      </c>
      <c r="D6" s="27" t="str">
        <f t="shared" si="0"/>
        <v>MRS. ELIZABETH JOHNSON</v>
      </c>
      <c r="E6" s="27" t="str">
        <f t="shared" si="1"/>
        <v>mrs. elizabeth johnson</v>
      </c>
      <c r="F6" s="27" t="str">
        <f t="shared" si="2"/>
        <v>MRS. ELIZABETH JOHNSON</v>
      </c>
      <c r="G6" s="27" t="str">
        <f t="shared" si="3"/>
        <v>Mrs. Elizabeth Johnson</v>
      </c>
      <c r="H6" s="27">
        <f t="shared" si="4"/>
        <v>22</v>
      </c>
      <c r="I6" s="27" t="str">
        <f t="shared" si="5"/>
        <v>EL</v>
      </c>
      <c r="J6" s="27" t="str">
        <f t="shared" si="6"/>
        <v>TH</v>
      </c>
      <c r="K6" t="str">
        <f t="shared" si="7"/>
        <v>OHN</v>
      </c>
      <c r="M6">
        <f t="shared" si="8"/>
        <v>17</v>
      </c>
      <c r="O6" t="str">
        <f t="shared" si="9"/>
        <v>JULIO</v>
      </c>
    </row>
    <row r="7" spans="1:15" ht="27.6">
      <c r="A7" s="28" t="s">
        <v>270</v>
      </c>
      <c r="B7" t="s">
        <v>70</v>
      </c>
      <c r="C7" t="s">
        <v>71</v>
      </c>
      <c r="D7" s="27" t="str">
        <f t="shared" si="0"/>
        <v>MR. JULIO RUIZ</v>
      </c>
      <c r="E7" s="27" t="str">
        <f t="shared" si="1"/>
        <v>mr. julio ruiz</v>
      </c>
      <c r="F7" s="27" t="str">
        <f t="shared" si="2"/>
        <v>MR. JULIO RUIZ</v>
      </c>
      <c r="G7" s="27" t="str">
        <f t="shared" si="3"/>
        <v>Mr. Julio Ruiz</v>
      </c>
      <c r="H7" s="27">
        <f t="shared" si="4"/>
        <v>14</v>
      </c>
      <c r="I7" s="27" t="str">
        <f t="shared" si="5"/>
        <v>JU</v>
      </c>
      <c r="J7" s="27" t="str">
        <f t="shared" si="6"/>
        <v>IO</v>
      </c>
      <c r="K7" t="str">
        <f t="shared" si="7"/>
        <v>UIZ</v>
      </c>
      <c r="M7">
        <f t="shared" si="8"/>
        <v>9</v>
      </c>
      <c r="O7" t="str">
        <f t="shared" si="9"/>
        <v>MARCO</v>
      </c>
    </row>
    <row r="8" spans="1:15" ht="27.6">
      <c r="A8" s="28" t="s">
        <v>270</v>
      </c>
      <c r="B8" t="s">
        <v>75</v>
      </c>
      <c r="C8" t="s">
        <v>76</v>
      </c>
      <c r="D8" s="27" t="str">
        <f t="shared" si="0"/>
        <v>MR. MARCO MEHTA</v>
      </c>
      <c r="E8" s="27" t="str">
        <f t="shared" si="1"/>
        <v>mr. marco mehta</v>
      </c>
      <c r="F8" s="27" t="str">
        <f t="shared" si="2"/>
        <v>MR. MARCO MEHTA</v>
      </c>
      <c r="G8" s="27" t="str">
        <f t="shared" si="3"/>
        <v>Mr. Marco Mehta</v>
      </c>
      <c r="H8" s="27">
        <f t="shared" si="4"/>
        <v>15</v>
      </c>
      <c r="I8" s="27" t="str">
        <f t="shared" si="5"/>
        <v>MA</v>
      </c>
      <c r="J8" s="27" t="str">
        <f t="shared" si="6"/>
        <v>CO</v>
      </c>
      <c r="K8" t="str">
        <f t="shared" si="7"/>
        <v>EHT</v>
      </c>
      <c r="M8">
        <f t="shared" si="8"/>
        <v>9</v>
      </c>
      <c r="O8" t="str">
        <f t="shared" si="9"/>
        <v>ROBIN</v>
      </c>
    </row>
    <row r="9" spans="1:15" ht="27.6">
      <c r="A9" s="28" t="s">
        <v>273</v>
      </c>
      <c r="B9" t="s">
        <v>80</v>
      </c>
      <c r="C9" t="s">
        <v>81</v>
      </c>
      <c r="D9" s="27" t="str">
        <f t="shared" si="0"/>
        <v>MRS. ROBIN VERHOFF</v>
      </c>
      <c r="E9" s="27" t="str">
        <f t="shared" si="1"/>
        <v>mrs. robin verhoff</v>
      </c>
      <c r="F9" s="27" t="str">
        <f t="shared" si="2"/>
        <v>MRS. ROBIN VERHOFF</v>
      </c>
      <c r="G9" s="27" t="str">
        <f t="shared" si="3"/>
        <v>Mrs. Robin Verhoff</v>
      </c>
      <c r="H9" s="27">
        <f t="shared" si="4"/>
        <v>18</v>
      </c>
      <c r="I9" s="27" t="str">
        <f t="shared" si="5"/>
        <v>RO</v>
      </c>
      <c r="J9" s="27" t="str">
        <f t="shared" si="6"/>
        <v>IN</v>
      </c>
      <c r="K9" t="str">
        <f t="shared" si="7"/>
        <v>ERH</v>
      </c>
      <c r="M9">
        <f t="shared" si="8"/>
        <v>7</v>
      </c>
      <c r="O9" t="str">
        <f t="shared" si="9"/>
        <v>SHANNON</v>
      </c>
    </row>
    <row r="10" spans="1:15" ht="27.6">
      <c r="A10" s="28" t="s">
        <v>270</v>
      </c>
      <c r="B10" t="s">
        <v>85</v>
      </c>
      <c r="C10" t="s">
        <v>86</v>
      </c>
      <c r="D10" s="27" t="str">
        <f t="shared" si="0"/>
        <v>MR. SHANNON CARLSON</v>
      </c>
      <c r="E10" s="27" t="str">
        <f t="shared" si="1"/>
        <v>mr. shannon carlson</v>
      </c>
      <c r="F10" s="27" t="str">
        <f t="shared" si="2"/>
        <v>MR. SHANNON CARLSON</v>
      </c>
      <c r="G10" s="27" t="str">
        <f t="shared" si="3"/>
        <v>Mr. Shannon Carlson</v>
      </c>
      <c r="H10" s="27">
        <f t="shared" si="4"/>
        <v>19</v>
      </c>
      <c r="I10" s="27" t="str">
        <f t="shared" si="5"/>
        <v>SH</v>
      </c>
      <c r="J10" s="27" t="str">
        <f t="shared" si="6"/>
        <v>ON</v>
      </c>
      <c r="K10" t="str">
        <f t="shared" si="7"/>
        <v>ARL</v>
      </c>
      <c r="M10">
        <f t="shared" si="8"/>
        <v>10</v>
      </c>
      <c r="O10" t="str">
        <f t="shared" si="9"/>
        <v>JACQUiLY</v>
      </c>
    </row>
    <row r="11" spans="1:15" ht="41.4">
      <c r="A11" s="28" t="s">
        <v>271</v>
      </c>
      <c r="B11" t="s">
        <v>274</v>
      </c>
      <c r="C11" t="s">
        <v>91</v>
      </c>
      <c r="D11" s="27" t="str">
        <f t="shared" si="0"/>
        <v>MS. JACQUELY SUAREZ</v>
      </c>
      <c r="E11" s="27" t="str">
        <f t="shared" si="1"/>
        <v>ms. jacquely suarez</v>
      </c>
      <c r="F11" s="27" t="str">
        <f t="shared" si="2"/>
        <v>MS. JACQUELY SUAREZ</v>
      </c>
      <c r="G11" s="27" t="str">
        <f t="shared" si="3"/>
        <v>Ms. Jacquely Suarez</v>
      </c>
      <c r="H11" s="27">
        <f t="shared" si="4"/>
        <v>19</v>
      </c>
      <c r="I11" s="27" t="str">
        <f t="shared" si="5"/>
        <v>JA</v>
      </c>
      <c r="J11" s="27" t="str">
        <f t="shared" si="6"/>
        <v>LY</v>
      </c>
      <c r="K11" t="str">
        <f t="shared" si="7"/>
        <v>UAR</v>
      </c>
      <c r="M11" t="e">
        <f t="shared" si="8"/>
        <v>#VALUE!</v>
      </c>
      <c r="O11" t="str">
        <f t="shared" si="9"/>
        <v>CURTIS</v>
      </c>
    </row>
    <row r="12" spans="1:15" ht="27.6">
      <c r="A12" s="28" t="s">
        <v>270</v>
      </c>
      <c r="B12" t="s">
        <v>95</v>
      </c>
      <c r="C12" t="s">
        <v>96</v>
      </c>
      <c r="D12" s="27" t="str">
        <f t="shared" si="0"/>
        <v>MR. CURTIS LU</v>
      </c>
      <c r="E12" s="27" t="str">
        <f t="shared" si="1"/>
        <v>mr. curtis lu</v>
      </c>
      <c r="F12" s="27" t="str">
        <f t="shared" si="2"/>
        <v>MR. CURTIS LU</v>
      </c>
      <c r="G12" s="27" t="str">
        <f t="shared" si="3"/>
        <v>Mr. Curtis Lu</v>
      </c>
      <c r="H12" s="27">
        <f t="shared" si="4"/>
        <v>13</v>
      </c>
      <c r="I12" s="27" t="str">
        <f t="shared" si="5"/>
        <v>CU</v>
      </c>
      <c r="J12" s="27" t="str">
        <f t="shared" si="6"/>
        <v>IS</v>
      </c>
      <c r="K12" t="str">
        <f t="shared" si="7"/>
        <v>U</v>
      </c>
      <c r="M12" t="e">
        <f t="shared" si="8"/>
        <v>#VALUE!</v>
      </c>
      <c r="O12" t="str">
        <f t="shared" si="9"/>
        <v>LAURiN</v>
      </c>
    </row>
    <row r="13" spans="1:15" ht="27.6">
      <c r="A13" s="28" t="s">
        <v>273</v>
      </c>
      <c r="B13" t="s">
        <v>100</v>
      </c>
      <c r="C13" t="s">
        <v>101</v>
      </c>
      <c r="D13" s="27" t="str">
        <f t="shared" si="0"/>
        <v>MRS. LAUREN WALKER</v>
      </c>
      <c r="E13" s="27" t="str">
        <f t="shared" si="1"/>
        <v>mrs. lauren walker</v>
      </c>
      <c r="F13" s="27" t="str">
        <f t="shared" si="2"/>
        <v>MRS. LAUREN WALKER</v>
      </c>
      <c r="G13" s="27" t="str">
        <f t="shared" si="3"/>
        <v>Mrs. Lauren Walker</v>
      </c>
      <c r="H13" s="27">
        <f t="shared" si="4"/>
        <v>18</v>
      </c>
      <c r="I13" s="27" t="str">
        <f t="shared" si="5"/>
        <v>LA</v>
      </c>
      <c r="J13" s="27" t="str">
        <f t="shared" si="6"/>
        <v>EN</v>
      </c>
      <c r="K13" t="str">
        <f t="shared" si="7"/>
        <v>ALK</v>
      </c>
      <c r="M13" t="e">
        <f t="shared" si="8"/>
        <v>#VALUE!</v>
      </c>
      <c r="O13" t="str">
        <f t="shared" si="9"/>
        <v>IAN</v>
      </c>
    </row>
    <row r="14" spans="1:15" ht="27.6">
      <c r="A14" s="28" t="s">
        <v>270</v>
      </c>
      <c r="B14" t="s">
        <v>105</v>
      </c>
      <c r="C14" t="s">
        <v>106</v>
      </c>
      <c r="D14" s="27" t="str">
        <f t="shared" si="0"/>
        <v>MR. IAN JENKINS</v>
      </c>
      <c r="E14" s="27" t="str">
        <f t="shared" si="1"/>
        <v>mr. ian jenkins</v>
      </c>
      <c r="F14" s="27" t="str">
        <f t="shared" si="2"/>
        <v>MR. IAN JENKINS</v>
      </c>
      <c r="G14" s="27" t="str">
        <f t="shared" si="3"/>
        <v>Mr. Ian Jenkins</v>
      </c>
      <c r="H14" s="27">
        <f t="shared" si="4"/>
        <v>15</v>
      </c>
      <c r="I14" s="27" t="str">
        <f t="shared" si="5"/>
        <v>IA</v>
      </c>
      <c r="J14" s="27" t="str">
        <f t="shared" si="6"/>
        <v>AN</v>
      </c>
      <c r="K14" t="str">
        <f t="shared" si="7"/>
        <v>ENK</v>
      </c>
      <c r="M14" t="e">
        <f t="shared" si="8"/>
        <v>#VALUE!</v>
      </c>
      <c r="O14" t="str">
        <f t="shared" si="9"/>
        <v>SYDNiY</v>
      </c>
    </row>
    <row r="15" spans="1:15" ht="27.6">
      <c r="A15" s="28" t="s">
        <v>273</v>
      </c>
      <c r="B15" t="s">
        <v>110</v>
      </c>
      <c r="C15" t="s">
        <v>111</v>
      </c>
      <c r="D15" s="27" t="str">
        <f t="shared" si="0"/>
        <v>MRS. SYDNEY BENNETT</v>
      </c>
      <c r="E15" s="27" t="str">
        <f t="shared" si="1"/>
        <v>mrs. sydney bennett</v>
      </c>
      <c r="F15" s="27" t="str">
        <f t="shared" si="2"/>
        <v>MRS. SYDNEY BENNETT</v>
      </c>
      <c r="G15" s="27" t="str">
        <f t="shared" si="3"/>
        <v>Mrs. Sydney Bennett</v>
      </c>
      <c r="H15" s="27">
        <f t="shared" si="4"/>
        <v>19</v>
      </c>
      <c r="I15" s="27" t="str">
        <f t="shared" si="5"/>
        <v>SY</v>
      </c>
      <c r="J15" s="27" t="str">
        <f t="shared" si="6"/>
        <v>EY</v>
      </c>
      <c r="K15" t="str">
        <f t="shared" si="7"/>
        <v>ENN</v>
      </c>
      <c r="M15" t="e">
        <f t="shared" si="8"/>
        <v>#VALUE!</v>
      </c>
      <c r="O15" t="str">
        <f t="shared" si="9"/>
        <v>CHLOi</v>
      </c>
    </row>
    <row r="16" spans="1:15" ht="27.6">
      <c r="A16" s="28" t="s">
        <v>271</v>
      </c>
      <c r="B16" t="s">
        <v>115</v>
      </c>
      <c r="C16" t="s">
        <v>116</v>
      </c>
      <c r="D16" s="27" t="str">
        <f t="shared" si="0"/>
        <v>MS. CHLOE YOUNG</v>
      </c>
      <c r="E16" s="27" t="str">
        <f t="shared" si="1"/>
        <v>ms. chloe young</v>
      </c>
      <c r="F16" s="27" t="str">
        <f t="shared" si="2"/>
        <v>MS. CHLOE YOUNG</v>
      </c>
      <c r="G16" s="27" t="str">
        <f t="shared" si="3"/>
        <v>Ms. Chloe Young</v>
      </c>
      <c r="H16" s="27">
        <f t="shared" si="4"/>
        <v>15</v>
      </c>
      <c r="I16" s="27" t="str">
        <f t="shared" si="5"/>
        <v>CH</v>
      </c>
      <c r="J16" s="27" t="str">
        <f t="shared" si="6"/>
        <v>OE</v>
      </c>
      <c r="K16" t="str">
        <f t="shared" si="7"/>
        <v>OUN</v>
      </c>
      <c r="M16">
        <f t="shared" si="8"/>
        <v>8</v>
      </c>
      <c r="O16" t="str">
        <f t="shared" si="9"/>
        <v>WYATT</v>
      </c>
    </row>
    <row r="17" spans="1:15" ht="27.6">
      <c r="A17" s="28" t="s">
        <v>270</v>
      </c>
      <c r="B17" t="s">
        <v>120</v>
      </c>
      <c r="C17" t="s">
        <v>121</v>
      </c>
      <c r="D17" s="27" t="str">
        <f t="shared" si="0"/>
        <v>MR. WYATT HILL</v>
      </c>
      <c r="E17" s="27" t="str">
        <f t="shared" si="1"/>
        <v>mr. wyatt hill</v>
      </c>
      <c r="F17" s="27" t="str">
        <f t="shared" si="2"/>
        <v>MR. WYATT HILL</v>
      </c>
      <c r="G17" s="27" t="str">
        <f t="shared" si="3"/>
        <v>Mr. Wyatt Hill</v>
      </c>
      <c r="H17" s="27">
        <f t="shared" si="4"/>
        <v>14</v>
      </c>
      <c r="I17" s="27" t="str">
        <f t="shared" si="5"/>
        <v>WY</v>
      </c>
      <c r="J17" s="27" t="str">
        <f t="shared" si="6"/>
        <v>TT</v>
      </c>
      <c r="K17" t="str">
        <f t="shared" si="7"/>
        <v>ILL</v>
      </c>
      <c r="M17" t="e">
        <f t="shared" si="8"/>
        <v>#VALUE!</v>
      </c>
      <c r="O17" t="str">
        <f t="shared" si="9"/>
        <v>SHANNON</v>
      </c>
    </row>
    <row r="18" spans="1:15" ht="41.4">
      <c r="A18" s="28" t="s">
        <v>273</v>
      </c>
      <c r="B18" t="s">
        <v>85</v>
      </c>
      <c r="C18" t="s">
        <v>125</v>
      </c>
      <c r="D18" s="27" t="str">
        <f t="shared" si="0"/>
        <v>MRS. SHANNON WANG</v>
      </c>
      <c r="E18" s="27" t="str">
        <f t="shared" si="1"/>
        <v>mrs. shannon wang</v>
      </c>
      <c r="F18" s="27" t="str">
        <f t="shared" si="2"/>
        <v>MRS. SHANNON WANG</v>
      </c>
      <c r="G18" s="27" t="str">
        <f t="shared" si="3"/>
        <v>Mrs. Shannon Wang</v>
      </c>
      <c r="H18" s="27">
        <f t="shared" si="4"/>
        <v>17</v>
      </c>
      <c r="I18" s="27" t="str">
        <f t="shared" si="5"/>
        <v>SH</v>
      </c>
      <c r="J18" s="27" t="str">
        <f t="shared" si="6"/>
        <v>ON</v>
      </c>
      <c r="K18" t="str">
        <f t="shared" si="7"/>
        <v>ANG</v>
      </c>
      <c r="M18">
        <f t="shared" si="8"/>
        <v>11</v>
      </c>
      <c r="O18" t="str">
        <f t="shared" si="9"/>
        <v>CLARiNCi</v>
      </c>
    </row>
    <row r="19" spans="1:15" ht="41.4">
      <c r="A19" s="28" t="s">
        <v>270</v>
      </c>
      <c r="B19" t="s">
        <v>129</v>
      </c>
      <c r="C19" t="s">
        <v>130</v>
      </c>
      <c r="D19" s="27" t="str">
        <f t="shared" si="0"/>
        <v>MR. CLARENCE RAI</v>
      </c>
      <c r="E19" s="27" t="str">
        <f t="shared" si="1"/>
        <v>mr. clarence rai</v>
      </c>
      <c r="F19" s="27" t="str">
        <f t="shared" si="2"/>
        <v>MR. CLARENCE RAI</v>
      </c>
      <c r="G19" s="27" t="str">
        <f t="shared" si="3"/>
        <v>Mr. Clarence Rai</v>
      </c>
      <c r="H19" s="27">
        <f t="shared" si="4"/>
        <v>16</v>
      </c>
      <c r="I19" s="27" t="str">
        <f t="shared" si="5"/>
        <v>CL</v>
      </c>
      <c r="J19" s="27" t="str">
        <f t="shared" si="6"/>
        <v>CE</v>
      </c>
      <c r="K19" t="str">
        <f t="shared" si="7"/>
        <v>AI</v>
      </c>
      <c r="M19" t="e">
        <f t="shared" si="8"/>
        <v>#VALUE!</v>
      </c>
      <c r="O19" t="str">
        <f t="shared" si="9"/>
        <v>LUKi</v>
      </c>
    </row>
    <row r="20" spans="1:15">
      <c r="A20" s="28" t="s">
        <v>270</v>
      </c>
      <c r="B20" t="s">
        <v>134</v>
      </c>
      <c r="C20" t="s">
        <v>275</v>
      </c>
      <c r="D20" s="27" t="str">
        <f t="shared" si="0"/>
        <v>MR. LUKE LAI</v>
      </c>
      <c r="E20" s="27" t="str">
        <f t="shared" si="1"/>
        <v>mr. luke lai</v>
      </c>
      <c r="F20" s="27" t="str">
        <f t="shared" si="2"/>
        <v>MR. LUKE LAI</v>
      </c>
      <c r="G20" s="27" t="str">
        <f t="shared" si="3"/>
        <v>Mr. Luke Lai</v>
      </c>
      <c r="H20" s="27">
        <f t="shared" si="4"/>
        <v>12</v>
      </c>
      <c r="I20" s="27" t="str">
        <f t="shared" si="5"/>
        <v>LU</v>
      </c>
      <c r="J20" s="27" t="str">
        <f t="shared" si="6"/>
        <v>KE</v>
      </c>
      <c r="K20" t="str">
        <f t="shared" si="7"/>
        <v>AI</v>
      </c>
      <c r="M20" t="e">
        <f t="shared" si="8"/>
        <v>#VALUE!</v>
      </c>
      <c r="O20" t="str">
        <f t="shared" si="9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DC63-C3FE-41CA-A5CC-04D4B9D96094}">
  <dimension ref="A1:K20"/>
  <sheetViews>
    <sheetView workbookViewId="0">
      <selection sqref="A1:K20"/>
    </sheetView>
  </sheetViews>
  <sheetFormatPr defaultRowHeight="14.4"/>
  <cols>
    <col min="1" max="1" width="14.88671875" bestFit="1" customWidth="1"/>
    <col min="2" max="2" width="24.109375" bestFit="1" customWidth="1"/>
    <col min="3" max="3" width="15.6640625" bestFit="1" customWidth="1"/>
    <col min="4" max="4" width="7.109375" bestFit="1" customWidth="1"/>
    <col min="5" max="5" width="4.21875" bestFit="1" customWidth="1"/>
    <col min="6" max="6" width="8.6640625" bestFit="1" customWidth="1"/>
    <col min="7" max="7" width="11.88671875" bestFit="1" customWidth="1"/>
    <col min="8" max="8" width="10" bestFit="1" customWidth="1"/>
    <col min="9" max="9" width="6.109375" bestFit="1" customWidth="1"/>
    <col min="10" max="10" width="8.21875" bestFit="1" customWidth="1"/>
    <col min="11" max="11" width="3.77734375" bestFit="1" customWidth="1"/>
  </cols>
  <sheetData>
    <row r="1" spans="1:11" s="31" customFormat="1">
      <c r="A1" s="31" t="s">
        <v>280</v>
      </c>
      <c r="B1" s="31" t="s">
        <v>281</v>
      </c>
      <c r="C1" s="31" t="s">
        <v>282</v>
      </c>
      <c r="D1" s="31" t="s">
        <v>283</v>
      </c>
      <c r="E1" s="31" t="s">
        <v>284</v>
      </c>
      <c r="F1" s="31" t="s">
        <v>285</v>
      </c>
      <c r="G1" s="31" t="s">
        <v>286</v>
      </c>
      <c r="H1" s="31" t="s">
        <v>287</v>
      </c>
      <c r="I1" s="31" t="s">
        <v>288</v>
      </c>
      <c r="J1" s="31" t="s">
        <v>289</v>
      </c>
      <c r="K1" s="31" t="s">
        <v>290</v>
      </c>
    </row>
    <row r="2" spans="1:11">
      <c r="A2" t="s">
        <v>291</v>
      </c>
      <c r="B2" t="s">
        <v>292</v>
      </c>
      <c r="C2" t="s">
        <v>293</v>
      </c>
      <c r="D2" t="s">
        <v>294</v>
      </c>
      <c r="E2">
        <v>55</v>
      </c>
      <c r="F2" s="18">
        <v>42468</v>
      </c>
      <c r="G2" t="s">
        <v>295</v>
      </c>
      <c r="H2" t="b">
        <f>E2&gt;50</f>
        <v>1</v>
      </c>
      <c r="I2" t="str">
        <f>IF(E2&gt;50,"Senior","Junior")</f>
        <v>Senior</v>
      </c>
      <c r="J2" t="str">
        <f>IF(AND(C2="IT",G2="United States"),"Included","Excluded")</f>
        <v>Included</v>
      </c>
      <c r="K2" t="str">
        <f>IF(OR(D2="Female",G3="China"),"Yes","No")</f>
        <v>Yes</v>
      </c>
    </row>
    <row r="3" spans="1:11">
      <c r="A3" t="s">
        <v>296</v>
      </c>
      <c r="B3" t="s">
        <v>297</v>
      </c>
      <c r="C3" t="s">
        <v>293</v>
      </c>
      <c r="D3" t="s">
        <v>298</v>
      </c>
      <c r="E3">
        <v>59</v>
      </c>
      <c r="F3" s="18">
        <v>35763</v>
      </c>
      <c r="G3" t="s">
        <v>299</v>
      </c>
      <c r="H3" t="b">
        <f t="shared" ref="H3:H20" si="0">E3&gt;50</f>
        <v>1</v>
      </c>
      <c r="I3" t="str">
        <f t="shared" ref="I3:I20" si="1">IF(E3&gt;50,"Senior","Junior")</f>
        <v>Senior</v>
      </c>
      <c r="J3" t="str">
        <f t="shared" ref="J3:J20" si="2">IF(AND(C3="IT",G3="United States"),"Included","Excluded")</f>
        <v>Excluded</v>
      </c>
      <c r="K3" t="str">
        <f t="shared" ref="K3:K20" si="3">IF(OR(D3="Female",G4="China"),"Yes","No")</f>
        <v>No</v>
      </c>
    </row>
    <row r="4" spans="1:11">
      <c r="A4" t="s">
        <v>300</v>
      </c>
      <c r="B4" t="s">
        <v>301</v>
      </c>
      <c r="C4" t="s">
        <v>302</v>
      </c>
      <c r="D4" t="s">
        <v>294</v>
      </c>
      <c r="E4">
        <v>50</v>
      </c>
      <c r="F4" s="18">
        <v>39016</v>
      </c>
      <c r="G4" t="s">
        <v>295</v>
      </c>
      <c r="H4" t="b">
        <f t="shared" si="0"/>
        <v>0</v>
      </c>
      <c r="I4" t="str">
        <f t="shared" si="1"/>
        <v>Junior</v>
      </c>
      <c r="J4" t="str">
        <f t="shared" si="2"/>
        <v>Excluded</v>
      </c>
      <c r="K4" t="str">
        <f t="shared" si="3"/>
        <v>Yes</v>
      </c>
    </row>
    <row r="5" spans="1:11">
      <c r="A5" t="s">
        <v>303</v>
      </c>
      <c r="B5" t="s">
        <v>304</v>
      </c>
      <c r="C5" t="s">
        <v>293</v>
      </c>
      <c r="D5" t="s">
        <v>294</v>
      </c>
      <c r="E5">
        <v>26</v>
      </c>
      <c r="F5" s="18">
        <v>43735</v>
      </c>
      <c r="G5" t="s">
        <v>295</v>
      </c>
      <c r="H5" t="b">
        <f t="shared" si="0"/>
        <v>0</v>
      </c>
      <c r="I5" t="str">
        <f t="shared" si="1"/>
        <v>Junior</v>
      </c>
      <c r="J5" t="str">
        <f t="shared" si="2"/>
        <v>Included</v>
      </c>
      <c r="K5" t="str">
        <f t="shared" si="3"/>
        <v>Yes</v>
      </c>
    </row>
    <row r="6" spans="1:11">
      <c r="A6" t="s">
        <v>305</v>
      </c>
      <c r="B6" t="s">
        <v>306</v>
      </c>
      <c r="C6" t="s">
        <v>302</v>
      </c>
      <c r="D6" t="s">
        <v>298</v>
      </c>
      <c r="E6">
        <v>55</v>
      </c>
      <c r="F6" s="18">
        <v>35023</v>
      </c>
      <c r="G6" t="s">
        <v>295</v>
      </c>
      <c r="H6" t="b">
        <f t="shared" si="0"/>
        <v>1</v>
      </c>
      <c r="I6" t="str">
        <f t="shared" si="1"/>
        <v>Senior</v>
      </c>
      <c r="J6" t="str">
        <f t="shared" si="2"/>
        <v>Excluded</v>
      </c>
      <c r="K6" t="str">
        <f t="shared" si="3"/>
        <v>Yes</v>
      </c>
    </row>
    <row r="7" spans="1:11">
      <c r="A7" t="s">
        <v>307</v>
      </c>
      <c r="B7" t="s">
        <v>308</v>
      </c>
      <c r="C7" t="s">
        <v>309</v>
      </c>
      <c r="D7" t="s">
        <v>298</v>
      </c>
      <c r="E7">
        <v>57</v>
      </c>
      <c r="F7" s="18">
        <v>42759</v>
      </c>
      <c r="G7" t="s">
        <v>299</v>
      </c>
      <c r="H7" t="b">
        <f t="shared" si="0"/>
        <v>1</v>
      </c>
      <c r="I7" t="str">
        <f t="shared" si="1"/>
        <v>Senior</v>
      </c>
      <c r="J7" t="str">
        <f t="shared" si="2"/>
        <v>Excluded</v>
      </c>
      <c r="K7" t="str">
        <f t="shared" si="3"/>
        <v>No</v>
      </c>
    </row>
    <row r="8" spans="1:11">
      <c r="A8" t="s">
        <v>310</v>
      </c>
      <c r="B8" t="s">
        <v>311</v>
      </c>
      <c r="C8" t="s">
        <v>293</v>
      </c>
      <c r="D8" t="s">
        <v>294</v>
      </c>
      <c r="E8">
        <v>27</v>
      </c>
      <c r="F8" s="18">
        <v>44013</v>
      </c>
      <c r="G8" t="s">
        <v>295</v>
      </c>
      <c r="H8" t="b">
        <f t="shared" si="0"/>
        <v>0</v>
      </c>
      <c r="I8" t="str">
        <f t="shared" si="1"/>
        <v>Junior</v>
      </c>
      <c r="J8" t="str">
        <f t="shared" si="2"/>
        <v>Included</v>
      </c>
      <c r="K8" t="str">
        <f t="shared" si="3"/>
        <v>Yes</v>
      </c>
    </row>
    <row r="9" spans="1:11">
      <c r="A9" t="s">
        <v>312</v>
      </c>
      <c r="B9" t="s">
        <v>313</v>
      </c>
      <c r="C9" t="s">
        <v>302</v>
      </c>
      <c r="D9" t="s">
        <v>298</v>
      </c>
      <c r="E9">
        <v>25</v>
      </c>
      <c r="F9" s="18">
        <v>43967</v>
      </c>
      <c r="G9" t="s">
        <v>295</v>
      </c>
      <c r="H9" t="b">
        <f t="shared" si="0"/>
        <v>0</v>
      </c>
      <c r="I9" t="str">
        <f t="shared" si="1"/>
        <v>Junior</v>
      </c>
      <c r="J9" t="str">
        <f t="shared" si="2"/>
        <v>Excluded</v>
      </c>
      <c r="K9" t="str">
        <f t="shared" si="3"/>
        <v>No</v>
      </c>
    </row>
    <row r="10" spans="1:11">
      <c r="A10" t="s">
        <v>314</v>
      </c>
      <c r="B10" t="s">
        <v>311</v>
      </c>
      <c r="C10" t="s">
        <v>315</v>
      </c>
      <c r="D10" t="s">
        <v>298</v>
      </c>
      <c r="E10">
        <v>29</v>
      </c>
      <c r="F10" s="18">
        <v>43490</v>
      </c>
      <c r="G10" t="s">
        <v>295</v>
      </c>
      <c r="H10" t="b">
        <f t="shared" si="0"/>
        <v>0</v>
      </c>
      <c r="I10" t="str">
        <f t="shared" si="1"/>
        <v>Junior</v>
      </c>
      <c r="J10" t="str">
        <f t="shared" si="2"/>
        <v>Excluded</v>
      </c>
      <c r="K10" t="str">
        <f t="shared" si="3"/>
        <v>No</v>
      </c>
    </row>
    <row r="11" spans="1:11">
      <c r="A11" t="s">
        <v>316</v>
      </c>
      <c r="B11" t="s">
        <v>306</v>
      </c>
      <c r="C11" t="s">
        <v>302</v>
      </c>
      <c r="D11" t="s">
        <v>294</v>
      </c>
      <c r="E11">
        <v>34</v>
      </c>
      <c r="F11" s="18">
        <v>43264</v>
      </c>
      <c r="G11" t="s">
        <v>295</v>
      </c>
      <c r="H11" t="b">
        <f t="shared" si="0"/>
        <v>0</v>
      </c>
      <c r="I11" t="str">
        <f t="shared" si="1"/>
        <v>Junior</v>
      </c>
      <c r="J11" t="str">
        <f t="shared" si="2"/>
        <v>Excluded</v>
      </c>
      <c r="K11" t="str">
        <f t="shared" si="3"/>
        <v>Yes</v>
      </c>
    </row>
    <row r="12" spans="1:11">
      <c r="A12" t="s">
        <v>317</v>
      </c>
      <c r="B12" t="s">
        <v>292</v>
      </c>
      <c r="C12" t="s">
        <v>318</v>
      </c>
      <c r="D12" t="s">
        <v>294</v>
      </c>
      <c r="E12">
        <v>36</v>
      </c>
      <c r="F12" s="18">
        <v>39855</v>
      </c>
      <c r="G12" t="s">
        <v>295</v>
      </c>
      <c r="H12" t="b">
        <f t="shared" si="0"/>
        <v>0</v>
      </c>
      <c r="I12" t="str">
        <f t="shared" si="1"/>
        <v>Junior</v>
      </c>
      <c r="J12" t="str">
        <f t="shared" si="2"/>
        <v>Excluded</v>
      </c>
      <c r="K12" t="str">
        <f t="shared" si="3"/>
        <v>Yes</v>
      </c>
    </row>
    <row r="13" spans="1:11">
      <c r="A13" t="s">
        <v>319</v>
      </c>
      <c r="B13" t="s">
        <v>320</v>
      </c>
      <c r="C13" t="s">
        <v>321</v>
      </c>
      <c r="D13" t="s">
        <v>294</v>
      </c>
      <c r="E13">
        <v>27</v>
      </c>
      <c r="F13" s="18">
        <v>44490</v>
      </c>
      <c r="G13" t="s">
        <v>295</v>
      </c>
      <c r="H13" t="b">
        <f t="shared" si="0"/>
        <v>0</v>
      </c>
      <c r="I13" t="str">
        <f t="shared" si="1"/>
        <v>Junior</v>
      </c>
      <c r="J13" t="str">
        <f t="shared" si="2"/>
        <v>Excluded</v>
      </c>
      <c r="K13" t="str">
        <f t="shared" si="3"/>
        <v>Yes</v>
      </c>
    </row>
    <row r="14" spans="1:11">
      <c r="A14" t="s">
        <v>322</v>
      </c>
      <c r="B14" t="s">
        <v>311</v>
      </c>
      <c r="C14" t="s">
        <v>318</v>
      </c>
      <c r="D14" t="s">
        <v>298</v>
      </c>
      <c r="E14">
        <v>59</v>
      </c>
      <c r="F14" s="18">
        <v>36233</v>
      </c>
      <c r="G14" t="s">
        <v>295</v>
      </c>
      <c r="H14" t="b">
        <f t="shared" si="0"/>
        <v>1</v>
      </c>
      <c r="I14" t="str">
        <f t="shared" si="1"/>
        <v>Senior</v>
      </c>
      <c r="J14" t="str">
        <f t="shared" si="2"/>
        <v>Excluded</v>
      </c>
      <c r="K14" t="str">
        <f t="shared" si="3"/>
        <v>Yes</v>
      </c>
    </row>
    <row r="15" spans="1:11">
      <c r="A15" t="s">
        <v>323</v>
      </c>
      <c r="B15" t="s">
        <v>292</v>
      </c>
      <c r="C15" t="s">
        <v>302</v>
      </c>
      <c r="D15" t="s">
        <v>294</v>
      </c>
      <c r="E15">
        <v>51</v>
      </c>
      <c r="F15" s="18">
        <v>44357</v>
      </c>
      <c r="G15" t="s">
        <v>299</v>
      </c>
      <c r="H15" t="b">
        <f t="shared" si="0"/>
        <v>1</v>
      </c>
      <c r="I15" t="str">
        <f t="shared" si="1"/>
        <v>Senior</v>
      </c>
      <c r="J15" t="str">
        <f t="shared" si="2"/>
        <v>Excluded</v>
      </c>
      <c r="K15" t="str">
        <f t="shared" si="3"/>
        <v>Yes</v>
      </c>
    </row>
    <row r="16" spans="1:11">
      <c r="A16" t="s">
        <v>324</v>
      </c>
      <c r="B16" t="s">
        <v>306</v>
      </c>
      <c r="C16" t="s">
        <v>315</v>
      </c>
      <c r="D16" t="s">
        <v>298</v>
      </c>
      <c r="E16">
        <v>31</v>
      </c>
      <c r="F16" s="18">
        <v>43043</v>
      </c>
      <c r="G16" t="s">
        <v>295</v>
      </c>
      <c r="H16" t="b">
        <f t="shared" si="0"/>
        <v>0</v>
      </c>
      <c r="I16" t="str">
        <f t="shared" si="1"/>
        <v>Junior</v>
      </c>
      <c r="J16" t="str">
        <f t="shared" si="2"/>
        <v>Excluded</v>
      </c>
      <c r="K16" t="str">
        <f t="shared" si="3"/>
        <v>No</v>
      </c>
    </row>
    <row r="17" spans="1:11">
      <c r="A17" t="s">
        <v>325</v>
      </c>
      <c r="B17" t="s">
        <v>326</v>
      </c>
      <c r="C17" t="s">
        <v>327</v>
      </c>
      <c r="D17" t="s">
        <v>294</v>
      </c>
      <c r="E17">
        <v>41</v>
      </c>
      <c r="F17" s="18">
        <v>41346</v>
      </c>
      <c r="G17" t="s">
        <v>295</v>
      </c>
      <c r="H17" t="b">
        <f t="shared" si="0"/>
        <v>0</v>
      </c>
      <c r="I17" t="str">
        <f t="shared" si="1"/>
        <v>Junior</v>
      </c>
      <c r="J17" t="str">
        <f t="shared" si="2"/>
        <v>Excluded</v>
      </c>
      <c r="K17" t="str">
        <f t="shared" si="3"/>
        <v>Yes</v>
      </c>
    </row>
    <row r="18" spans="1:11">
      <c r="A18" t="s">
        <v>328</v>
      </c>
      <c r="B18" t="s">
        <v>301</v>
      </c>
      <c r="C18" t="s">
        <v>302</v>
      </c>
      <c r="D18" t="s">
        <v>294</v>
      </c>
      <c r="E18">
        <v>65</v>
      </c>
      <c r="F18" s="18">
        <v>37319</v>
      </c>
      <c r="G18" t="s">
        <v>295</v>
      </c>
      <c r="H18" t="b">
        <f t="shared" si="0"/>
        <v>1</v>
      </c>
      <c r="I18" t="str">
        <f t="shared" si="1"/>
        <v>Senior</v>
      </c>
      <c r="J18" t="str">
        <f t="shared" si="2"/>
        <v>Excluded</v>
      </c>
      <c r="K18" t="str">
        <f t="shared" si="3"/>
        <v>Yes</v>
      </c>
    </row>
    <row r="19" spans="1:11">
      <c r="A19" t="s">
        <v>329</v>
      </c>
      <c r="B19" t="s">
        <v>292</v>
      </c>
      <c r="C19" t="s">
        <v>327</v>
      </c>
      <c r="D19" t="s">
        <v>294</v>
      </c>
      <c r="E19">
        <v>64</v>
      </c>
      <c r="F19" s="18">
        <v>37956</v>
      </c>
      <c r="G19" t="s">
        <v>295</v>
      </c>
      <c r="H19" t="b">
        <f t="shared" si="0"/>
        <v>1</v>
      </c>
      <c r="I19" t="str">
        <f t="shared" si="1"/>
        <v>Senior</v>
      </c>
      <c r="J19" t="str">
        <f t="shared" si="2"/>
        <v>Excluded</v>
      </c>
      <c r="K19" t="str">
        <f t="shared" si="3"/>
        <v>Yes</v>
      </c>
    </row>
    <row r="20" spans="1:11">
      <c r="A20" t="s">
        <v>330</v>
      </c>
      <c r="B20" t="s">
        <v>301</v>
      </c>
      <c r="C20" t="s">
        <v>293</v>
      </c>
      <c r="D20" t="s">
        <v>298</v>
      </c>
      <c r="E20">
        <v>64</v>
      </c>
      <c r="F20" s="18">
        <v>41581</v>
      </c>
      <c r="G20" t="s">
        <v>295</v>
      </c>
      <c r="H20" t="b">
        <f t="shared" si="0"/>
        <v>1</v>
      </c>
      <c r="I20" t="str">
        <f t="shared" si="1"/>
        <v>Senior</v>
      </c>
      <c r="J20" t="str">
        <f t="shared" si="2"/>
        <v>Included</v>
      </c>
      <c r="K20" t="str">
        <f t="shared" si="3"/>
        <v>No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6E42-5F38-4262-90E2-276AAD0D4F4E}">
  <dimension ref="A1:L1"/>
  <sheetViews>
    <sheetView tabSelected="1" workbookViewId="0">
      <selection activeCell="A2" sqref="A2"/>
    </sheetView>
  </sheetViews>
  <sheetFormatPr defaultRowHeight="14.4"/>
  <cols>
    <col min="10" max="10" width="11.21875" bestFit="1" customWidth="1"/>
    <col min="11" max="11" width="13.77734375" bestFit="1" customWidth="1"/>
    <col min="12" max="12" width="11.44140625" bestFit="1" customWidth="1"/>
  </cols>
  <sheetData>
    <row r="1" spans="1:12">
      <c r="A1" s="31" t="s">
        <v>331</v>
      </c>
      <c r="B1" s="31" t="s">
        <v>333</v>
      </c>
      <c r="C1" s="31" t="s">
        <v>332</v>
      </c>
      <c r="D1" s="31" t="s">
        <v>334</v>
      </c>
      <c r="E1" s="31" t="s">
        <v>335</v>
      </c>
      <c r="F1" s="31" t="s">
        <v>202</v>
      </c>
      <c r="G1" s="31" t="s">
        <v>336</v>
      </c>
      <c r="H1" s="31" t="s">
        <v>337</v>
      </c>
      <c r="I1" s="31" t="s">
        <v>338</v>
      </c>
      <c r="J1" s="31" t="s">
        <v>339</v>
      </c>
      <c r="K1" s="31" t="s">
        <v>340</v>
      </c>
      <c r="L1" s="3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Flash Fill</vt:lpstr>
      <vt:lpstr>Paste Special</vt:lpstr>
      <vt:lpstr>Text To Column</vt:lpstr>
      <vt:lpstr>Fill Series</vt:lpstr>
      <vt:lpstr>formatting</vt:lpstr>
      <vt:lpstr>Sorting</vt:lpstr>
      <vt:lpstr>Filteering</vt:lpstr>
      <vt:lpstr>Arithmatic</vt:lpstr>
      <vt:lpstr>Text Functions</vt:lpstr>
      <vt:lpstr>Logical Functions</vt:lpstr>
      <vt:lpstr>Date and Time 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2026-06-21T04:48:42Z</dcterms:created>
  <dcterms:modified xsi:type="dcterms:W3CDTF">2026-06-21T18:45:33Z</dcterms:modified>
</cp:coreProperties>
</file>