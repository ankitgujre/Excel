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Vern\MS Excel\"/>
    </mc:Choice>
  </mc:AlternateContent>
  <xr:revisionPtr revIDLastSave="0" documentId="13_ncr:1_{3D451E75-1D1F-458A-99DE-F662DC55C95D}" xr6:coauthVersionLast="47" xr6:coauthVersionMax="47" xr10:uidLastSave="{00000000-0000-0000-0000-000000000000}"/>
  <bookViews>
    <workbookView xWindow="-108" yWindow="-108" windowWidth="23256" windowHeight="12456" activeTab="2" xr2:uid="{3F1D1881-81E1-4540-B5B2-7A50B1329B83}"/>
  </bookViews>
  <sheets>
    <sheet name="Sheet1" sheetId="1" r:id="rId1"/>
    <sheet name="Sheet2" sheetId="2" r:id="rId2"/>
    <sheet name="Absolu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M4" i="3"/>
  <c r="L4" i="3"/>
  <c r="F19" i="3"/>
  <c r="F17" i="3"/>
  <c r="G17" i="3"/>
  <c r="K1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C6" i="2"/>
  <c r="D6" i="2"/>
  <c r="E6" i="2"/>
  <c r="F6" i="2"/>
  <c r="G6" i="2"/>
  <c r="H6" i="2"/>
  <c r="I6" i="2"/>
  <c r="J6" i="2"/>
  <c r="K6" i="2"/>
  <c r="L6" i="2"/>
  <c r="M6" i="2"/>
  <c r="B6" i="2"/>
  <c r="O3" i="2"/>
  <c r="O2" i="2"/>
  <c r="L6" i="1"/>
  <c r="J6" i="1"/>
  <c r="I6" i="1"/>
  <c r="H6" i="1"/>
</calcChain>
</file>

<file path=xl/sharedStrings.xml><?xml version="1.0" encoding="utf-8"?>
<sst xmlns="http://schemas.openxmlformats.org/spreadsheetml/2006/main" count="99" uniqueCount="85">
  <si>
    <t>Creating Formulas</t>
  </si>
  <si>
    <t>ID</t>
  </si>
  <si>
    <t>Name</t>
  </si>
  <si>
    <t>City</t>
  </si>
  <si>
    <t>Product</t>
  </si>
  <si>
    <t>Quantity</t>
  </si>
  <si>
    <t>Price</t>
  </si>
  <si>
    <t>Discount %</t>
  </si>
  <si>
    <t>Total</t>
  </si>
  <si>
    <t>Rahul</t>
  </si>
  <si>
    <t>Bhopal</t>
  </si>
  <si>
    <t>Laptop</t>
  </si>
  <si>
    <t>Ankit</t>
  </si>
  <si>
    <t>Indore</t>
  </si>
  <si>
    <t>Mobile</t>
  </si>
  <si>
    <t>Neha</t>
  </si>
  <si>
    <t>Delhi</t>
  </si>
  <si>
    <t>Headphone</t>
  </si>
  <si>
    <t>Priya</t>
  </si>
  <si>
    <t>Mumbai</t>
  </si>
  <si>
    <t>Tablet</t>
  </si>
  <si>
    <t>Aman</t>
  </si>
  <si>
    <t>Pune</t>
  </si>
  <si>
    <t>Keyboard</t>
  </si>
  <si>
    <t>Suman</t>
  </si>
  <si>
    <t>Jaipur</t>
  </si>
  <si>
    <t>Mouse</t>
  </si>
  <si>
    <t>Rohan</t>
  </si>
  <si>
    <t>Monitor</t>
  </si>
  <si>
    <t>Simran</t>
  </si>
  <si>
    <t>Printer</t>
  </si>
  <si>
    <t>Karan</t>
  </si>
  <si>
    <t>Speaker</t>
  </si>
  <si>
    <t>Pooja</t>
  </si>
  <si>
    <t>Webcam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</si>
  <si>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</si>
  <si>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</si>
  <si>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</si>
  <si>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</si>
  <si>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</si>
  <si>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</si>
  <si>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</si>
  <si>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</si>
  <si>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</si>
  <si>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</si>
  <si>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</si>
  <si>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</si>
  <si>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</t>
  </si>
  <si>
    <t>expenses</t>
  </si>
  <si>
    <t>profit</t>
  </si>
  <si>
    <t>Average</t>
  </si>
  <si>
    <t>Percente Change</t>
  </si>
  <si>
    <t>Emp ID</t>
  </si>
  <si>
    <t>Emp Name</t>
  </si>
  <si>
    <t>Department</t>
  </si>
  <si>
    <t>Joining Date</t>
  </si>
  <si>
    <t>Salary (₹)</t>
  </si>
  <si>
    <t>Rahul Sharma</t>
  </si>
  <si>
    <t>HR</t>
  </si>
  <si>
    <t>Ankit Verma</t>
  </si>
  <si>
    <t>IT</t>
  </si>
  <si>
    <t>Priya Singh</t>
  </si>
  <si>
    <t>Finance</t>
  </si>
  <si>
    <t>Neha Gupta</t>
  </si>
  <si>
    <t>Marketing</t>
  </si>
  <si>
    <t>Aman Khan</t>
  </si>
  <si>
    <t>Sales</t>
  </si>
  <si>
    <t>Simran Kaur</t>
  </si>
  <si>
    <t>Rohit Yadav</t>
  </si>
  <si>
    <t>Kavita Joshi</t>
  </si>
  <si>
    <t>Deepak Meena</t>
  </si>
  <si>
    <t>Operations</t>
  </si>
  <si>
    <t>Sneha Patel</t>
  </si>
  <si>
    <t>Arjun Das</t>
  </si>
  <si>
    <t>Pooja Mishra</t>
  </si>
  <si>
    <t>Mohit Jain</t>
  </si>
  <si>
    <t>Riya Sen</t>
  </si>
  <si>
    <t>Vishal Roy</t>
  </si>
  <si>
    <t>Years</t>
  </si>
  <si>
    <t>New Salary</t>
  </si>
  <si>
    <t>new salary</t>
  </si>
  <si>
    <t>alt+=</t>
  </si>
  <si>
    <t>Rank</t>
  </si>
  <si>
    <t>count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</si>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</sst>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10" fontId="0" fillId="0" borderId="0" xfId="1" applyNumberFormat="1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NumberForma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6"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33B11F-4D37-43E2-B4A7-67BFFC74B9D5}" name="Table3" displayName="Table3" ref="A1:G17" totalsRowCount="1" headerRowDxfId="15" dataDxfId="14">
  <autoFilter ref="A1:G16" xr:uid="{8033B11F-4D37-43E2-B4A7-67BFFC74B9D5}"/>
  <tableColumns count="7">
    <tableColumn id="1" xr3:uid="{C8132E4C-9B54-46B7-A02A-EAE822990B9D}" name="Emp ID" dataDxfId="13" totalsRowDxfId="6"/>
    <tableColumn id="2" xr3:uid="{AF5FC731-224E-40D5-AE5D-7C5943F79BA4}" name="Emp Name" dataDxfId="12" totalsRowDxfId="5"/>
    <tableColumn id="3" xr3:uid="{F55F2E68-9074-4B09-9A1A-35C6D41A9AEE}" name="Department" dataDxfId="11" totalsRowDxfId="4"/>
    <tableColumn id="4" xr3:uid="{D312EF39-DC2D-4B17-989E-D25187A9CEF1}" name="Joining Date" dataDxfId="10" totalsRowDxfId="3"/>
    <tableColumn id="5" xr3:uid="{2F3601C6-2A0D-4076-A33A-1A4AEC35FAF8}" name="Years" dataDxfId="9" totalsRowDxfId="2"/>
    <tableColumn id="6" xr3:uid="{8C945BCB-4690-414D-8C38-7206526E64F6}" name="Salary (₹)" totalsRowFunction="sum" dataDxfId="8" totalsRowDxfId="1"/>
    <tableColumn id="7" xr3:uid="{8E888CB8-FA29-46EA-9DE4-EF4BF246AD95}" name="New Salary" totalsRowFunction="sum" dataDxfId="7" totalsRowDxfId="0">
      <calculatedColumnFormula>F2*$J$2+F2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9401-0AD7-4684-AADA-92C40DDD4724}">
  <dimension ref="A1:L15"/>
  <sheetViews>
    <sheetView workbookViewId="0">
      <selection activeCell="L6" sqref="L6"/>
    </sheetView>
  </sheetViews>
  <sheetFormatPr defaultRowHeight="14.4" x14ac:dyDescent="0.3"/>
  <cols>
    <col min="1" max="1" width="8.88671875" style="1"/>
    <col min="2" max="2" width="12.6640625" style="1" customWidth="1"/>
    <col min="3" max="3" width="12.77734375" style="1" customWidth="1"/>
    <col min="4" max="4" width="17.33203125" style="1" customWidth="1"/>
    <col min="5" max="5" width="13.21875" style="1" customWidth="1"/>
    <col min="6" max="6" width="8.88671875" style="1"/>
    <col min="7" max="7" width="12.44140625" style="1" customWidth="1"/>
    <col min="8" max="8" width="13.88671875" customWidth="1"/>
  </cols>
  <sheetData>
    <row r="1" spans="1:12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ht="31.2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1:12" ht="15.6" x14ac:dyDescent="0.3">
      <c r="A6" s="5">
        <v>101</v>
      </c>
      <c r="B6" s="5" t="s">
        <v>9</v>
      </c>
      <c r="C6" s="5" t="s">
        <v>10</v>
      </c>
      <c r="D6" s="5" t="s">
        <v>11</v>
      </c>
      <c r="E6" s="5">
        <v>2</v>
      </c>
      <c r="F6" s="5">
        <v>45000</v>
      </c>
      <c r="G6" s="6">
        <v>0.1</v>
      </c>
      <c r="H6" s="3">
        <f>F6*E6</f>
        <v>90000</v>
      </c>
      <c r="I6">
        <f>H6*G6</f>
        <v>9000</v>
      </c>
      <c r="J6">
        <f>H6-I6</f>
        <v>81000</v>
      </c>
      <c r="L6">
        <f>AVERAGE(F6:F15)</f>
        <v>13130</v>
      </c>
    </row>
    <row r="7" spans="1:12" ht="15.6" x14ac:dyDescent="0.3">
      <c r="A7" s="5">
        <v>102</v>
      </c>
      <c r="B7" s="5" t="s">
        <v>12</v>
      </c>
      <c r="C7" s="5" t="s">
        <v>13</v>
      </c>
      <c r="D7" s="5" t="s">
        <v>14</v>
      </c>
      <c r="E7" s="5">
        <v>3</v>
      </c>
      <c r="F7" s="5">
        <v>20000</v>
      </c>
      <c r="G7" s="6">
        <v>0.05</v>
      </c>
      <c r="H7" s="4"/>
    </row>
    <row r="8" spans="1:12" ht="15.6" x14ac:dyDescent="0.3">
      <c r="A8" s="5">
        <v>103</v>
      </c>
      <c r="B8" s="5" t="s">
        <v>15</v>
      </c>
      <c r="C8" s="5" t="s">
        <v>16</v>
      </c>
      <c r="D8" s="5" t="s">
        <v>17</v>
      </c>
      <c r="E8" s="5">
        <v>5</v>
      </c>
      <c r="F8" s="5">
        <v>1500</v>
      </c>
      <c r="G8" s="6">
        <v>0.15</v>
      </c>
      <c r="H8" s="3"/>
    </row>
    <row r="9" spans="1:12" ht="15.6" x14ac:dyDescent="0.3">
      <c r="A9" s="5">
        <v>104</v>
      </c>
      <c r="B9" s="5" t="s">
        <v>18</v>
      </c>
      <c r="C9" s="5" t="s">
        <v>19</v>
      </c>
      <c r="D9" s="5" t="s">
        <v>20</v>
      </c>
      <c r="E9" s="5">
        <v>1</v>
      </c>
      <c r="F9" s="5">
        <v>30000</v>
      </c>
      <c r="G9" s="6">
        <v>0.08</v>
      </c>
      <c r="H9" s="3"/>
    </row>
    <row r="10" spans="1:12" ht="15.6" x14ac:dyDescent="0.3">
      <c r="A10" s="5">
        <v>105</v>
      </c>
      <c r="B10" s="5" t="s">
        <v>21</v>
      </c>
      <c r="C10" s="5" t="s">
        <v>22</v>
      </c>
      <c r="D10" s="5" t="s">
        <v>23</v>
      </c>
      <c r="E10" s="5">
        <v>4</v>
      </c>
      <c r="F10" s="5">
        <v>800</v>
      </c>
      <c r="G10" s="6">
        <v>0.12</v>
      </c>
      <c r="H10" s="3"/>
    </row>
    <row r="11" spans="1:12" ht="15.6" x14ac:dyDescent="0.3">
      <c r="A11" s="5">
        <v>106</v>
      </c>
      <c r="B11" s="5" t="s">
        <v>24</v>
      </c>
      <c r="C11" s="5" t="s">
        <v>25</v>
      </c>
      <c r="D11" s="5" t="s">
        <v>26</v>
      </c>
      <c r="E11" s="5">
        <v>6</v>
      </c>
      <c r="F11" s="5">
        <v>500</v>
      </c>
      <c r="G11" s="6">
        <v>0.05</v>
      </c>
      <c r="H11" s="3"/>
    </row>
    <row r="12" spans="1:12" ht="15.6" x14ac:dyDescent="0.3">
      <c r="A12" s="5">
        <v>107</v>
      </c>
      <c r="B12" s="5" t="s">
        <v>27</v>
      </c>
      <c r="C12" s="5" t="s">
        <v>10</v>
      </c>
      <c r="D12" s="5" t="s">
        <v>28</v>
      </c>
      <c r="E12" s="5">
        <v>2</v>
      </c>
      <c r="F12" s="5">
        <v>12000</v>
      </c>
      <c r="G12" s="6">
        <v>7.0000000000000007E-2</v>
      </c>
      <c r="H12" s="3"/>
    </row>
    <row r="13" spans="1:12" ht="15.6" x14ac:dyDescent="0.3">
      <c r="A13" s="5">
        <v>108</v>
      </c>
      <c r="B13" s="5" t="s">
        <v>29</v>
      </c>
      <c r="C13" s="5" t="s">
        <v>16</v>
      </c>
      <c r="D13" s="5" t="s">
        <v>30</v>
      </c>
      <c r="E13" s="5">
        <v>1</v>
      </c>
      <c r="F13" s="5">
        <v>15000</v>
      </c>
      <c r="G13" s="6">
        <v>0.1</v>
      </c>
      <c r="H13" s="3"/>
    </row>
    <row r="14" spans="1:12" ht="15.6" x14ac:dyDescent="0.3">
      <c r="A14" s="5">
        <v>109</v>
      </c>
      <c r="B14" s="5" t="s">
        <v>31</v>
      </c>
      <c r="C14" s="5" t="s">
        <v>13</v>
      </c>
      <c r="D14" s="5" t="s">
        <v>32</v>
      </c>
      <c r="E14" s="5">
        <v>3</v>
      </c>
      <c r="F14" s="5">
        <v>4000</v>
      </c>
      <c r="G14" s="6">
        <v>0.06</v>
      </c>
      <c r="H14" s="3"/>
    </row>
    <row r="15" spans="1:12" ht="15.6" x14ac:dyDescent="0.3">
      <c r="A15" s="5">
        <v>110</v>
      </c>
      <c r="B15" s="5" t="s">
        <v>33</v>
      </c>
      <c r="C15" s="5" t="s">
        <v>19</v>
      </c>
      <c r="D15" s="5" t="s">
        <v>34</v>
      </c>
      <c r="E15" s="5">
        <v>2</v>
      </c>
      <c r="F15" s="5">
        <v>2500</v>
      </c>
      <c r="G15" s="6">
        <v>0.09</v>
      </c>
      <c r="H15" s="3"/>
    </row>
  </sheetData>
  <mergeCells count="1">
    <mergeCell ref="A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609D-069B-48F9-9940-9379E51B3C5A}">
  <dimension ref="A1:P6"/>
  <sheetViews>
    <sheetView workbookViewId="0">
      <selection activeCell="J10" sqref="J10"/>
    </sheetView>
  </sheetViews>
  <sheetFormatPr defaultRowHeight="14.4" x14ac:dyDescent="0.3"/>
  <cols>
    <col min="1" max="1" width="16.44140625" customWidth="1"/>
    <col min="2" max="2" width="17.21875" bestFit="1" customWidth="1"/>
  </cols>
  <sheetData>
    <row r="1" spans="1:16" x14ac:dyDescent="0.3">
      <c r="A1" s="1"/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/>
      <c r="O1" s="1" t="s">
        <v>8</v>
      </c>
      <c r="P1" s="1" t="s">
        <v>50</v>
      </c>
    </row>
    <row r="2" spans="1:16" x14ac:dyDescent="0.3">
      <c r="A2" s="1" t="s">
        <v>47</v>
      </c>
      <c r="B2" s="1">
        <v>125</v>
      </c>
      <c r="C2" s="1">
        <v>46</v>
      </c>
      <c r="D2" s="1">
        <v>123</v>
      </c>
      <c r="E2" s="1">
        <v>200</v>
      </c>
      <c r="F2" s="1">
        <v>5512</v>
      </c>
      <c r="G2" s="1">
        <v>551</v>
      </c>
      <c r="H2" s="1">
        <v>5642</v>
      </c>
      <c r="I2" s="1">
        <v>5651</v>
      </c>
      <c r="J2" s="1">
        <v>752</v>
      </c>
      <c r="K2" s="1">
        <v>213</v>
      </c>
      <c r="L2" s="1">
        <v>84320</v>
      </c>
      <c r="M2" s="1">
        <v>852</v>
      </c>
      <c r="N2" s="1"/>
      <c r="O2" s="1">
        <f>SUM(B2:M2)</f>
        <v>103987</v>
      </c>
      <c r="P2" s="1"/>
    </row>
    <row r="3" spans="1:16" x14ac:dyDescent="0.3">
      <c r="A3" s="1" t="s">
        <v>48</v>
      </c>
      <c r="B3" s="1">
        <v>15</v>
      </c>
      <c r="C3" s="1">
        <v>584</v>
      </c>
      <c r="D3" s="1">
        <v>865</v>
      </c>
      <c r="E3" s="1">
        <v>4856</v>
      </c>
      <c r="F3" s="1">
        <v>6497</v>
      </c>
      <c r="G3" s="1">
        <v>56</v>
      </c>
      <c r="H3" s="1">
        <v>651</v>
      </c>
      <c r="I3" s="1">
        <v>546</v>
      </c>
      <c r="J3" s="1">
        <v>68419</v>
      </c>
      <c r="K3" s="1">
        <v>6848</v>
      </c>
      <c r="L3" s="1">
        <v>9684</v>
      </c>
      <c r="M3" s="1">
        <v>55</v>
      </c>
      <c r="N3" s="1"/>
      <c r="O3" s="1">
        <f>SUM(B3:M3)</f>
        <v>99076</v>
      </c>
      <c r="P3" s="1"/>
    </row>
    <row r="4" spans="1:16" x14ac:dyDescent="0.3">
      <c r="A4" s="1" t="s">
        <v>49</v>
      </c>
      <c r="B4" s="1">
        <v>30</v>
      </c>
      <c r="C4" s="1">
        <v>60</v>
      </c>
      <c r="D4" s="1">
        <v>40</v>
      </c>
      <c r="E4" s="1">
        <v>50</v>
      </c>
      <c r="F4" s="1">
        <v>100</v>
      </c>
      <c r="G4" s="1">
        <v>62</v>
      </c>
      <c r="H4" s="1">
        <v>98</v>
      </c>
      <c r="I4" s="1">
        <v>44</v>
      </c>
      <c r="J4" s="1">
        <v>56</v>
      </c>
      <c r="K4" s="1">
        <v>12</v>
      </c>
      <c r="L4" s="1">
        <v>15</v>
      </c>
      <c r="M4" s="1">
        <v>85</v>
      </c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 t="s">
        <v>51</v>
      </c>
      <c r="B6" s="7">
        <f>(C4-B4)/B4</f>
        <v>1</v>
      </c>
      <c r="C6" s="7">
        <f t="shared" ref="C6:M6" si="0">(D4-C4)/C4</f>
        <v>-0.33333333333333331</v>
      </c>
      <c r="D6" s="7">
        <f t="shared" si="0"/>
        <v>0.25</v>
      </c>
      <c r="E6" s="7">
        <f t="shared" si="0"/>
        <v>1</v>
      </c>
      <c r="F6" s="7">
        <f t="shared" si="0"/>
        <v>-0.38</v>
      </c>
      <c r="G6" s="7">
        <f t="shared" si="0"/>
        <v>0.58064516129032262</v>
      </c>
      <c r="H6" s="7">
        <f t="shared" si="0"/>
        <v>-0.55102040816326525</v>
      </c>
      <c r="I6" s="7">
        <f t="shared" si="0"/>
        <v>0.27272727272727271</v>
      </c>
      <c r="J6" s="7">
        <f t="shared" si="0"/>
        <v>-0.7857142857142857</v>
      </c>
      <c r="K6" s="7">
        <f t="shared" si="0"/>
        <v>0.25</v>
      </c>
      <c r="L6" s="7">
        <f t="shared" si="0"/>
        <v>4.666666666666667</v>
      </c>
      <c r="M6" s="7">
        <f t="shared" si="0"/>
        <v>-1</v>
      </c>
      <c r="N6" s="1"/>
      <c r="O6" s="1"/>
      <c r="P6" s="1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4F60-0A76-4C23-BF3E-B35784502CC7}">
  <dimension ref="A1:N19"/>
  <sheetViews>
    <sheetView tabSelected="1" workbookViewId="0">
      <selection activeCell="N5" sqref="N5"/>
    </sheetView>
  </sheetViews>
  <sheetFormatPr defaultRowHeight="14.4" x14ac:dyDescent="0.3"/>
  <cols>
    <col min="2" max="2" width="16.6640625" customWidth="1"/>
    <col min="3" max="3" width="14.33203125" customWidth="1"/>
    <col min="4" max="4" width="14.88671875" customWidth="1"/>
    <col min="6" max="6" width="13.44140625" customWidth="1"/>
    <col min="7" max="7" width="14.21875" customWidth="1"/>
    <col min="8" max="8" width="10.109375" customWidth="1"/>
    <col min="11" max="11" width="11.33203125" style="1" customWidth="1"/>
  </cols>
  <sheetData>
    <row r="1" spans="1:14" x14ac:dyDescent="0.3">
      <c r="A1" s="8" t="s">
        <v>52</v>
      </c>
      <c r="B1" s="8" t="s">
        <v>53</v>
      </c>
      <c r="C1" s="8" t="s">
        <v>54</v>
      </c>
      <c r="D1" s="8" t="s">
        <v>55</v>
      </c>
      <c r="E1" s="8" t="s">
        <v>78</v>
      </c>
      <c r="F1" s="8" t="s">
        <v>56</v>
      </c>
      <c r="G1" s="8" t="s">
        <v>79</v>
      </c>
    </row>
    <row r="2" spans="1:14" x14ac:dyDescent="0.3">
      <c r="A2" s="9">
        <v>101</v>
      </c>
      <c r="B2" s="9" t="s">
        <v>57</v>
      </c>
      <c r="C2" s="9" t="s">
        <v>58</v>
      </c>
      <c r="D2" s="10">
        <v>44267</v>
      </c>
      <c r="E2" s="9">
        <v>21</v>
      </c>
      <c r="F2" s="9">
        <v>25000</v>
      </c>
      <c r="G2" s="9">
        <f t="shared" ref="G2:G16" si="0">F2*$J$2+F2</f>
        <v>82500</v>
      </c>
      <c r="J2">
        <v>2.2999999999999998</v>
      </c>
    </row>
    <row r="3" spans="1:14" x14ac:dyDescent="0.3">
      <c r="A3" s="9">
        <v>102</v>
      </c>
      <c r="B3" s="9" t="s">
        <v>59</v>
      </c>
      <c r="C3" s="9" t="s">
        <v>60</v>
      </c>
      <c r="D3" s="10">
        <v>44767</v>
      </c>
      <c r="E3" s="9">
        <v>16</v>
      </c>
      <c r="F3" s="9">
        <v>32000</v>
      </c>
      <c r="G3" s="9">
        <f t="shared" si="0"/>
        <v>105600</v>
      </c>
      <c r="L3" s="1" t="s">
        <v>82</v>
      </c>
      <c r="M3" t="s">
        <v>83</v>
      </c>
      <c r="N3" t="s">
        <v>84</v>
      </c>
    </row>
    <row r="4" spans="1:14" x14ac:dyDescent="0.3">
      <c r="A4" s="9">
        <v>103</v>
      </c>
      <c r="B4" s="9" t="s">
        <v>61</v>
      </c>
      <c r="C4" s="9" t="s">
        <v>62</v>
      </c>
      <c r="D4" s="10">
        <v>43848</v>
      </c>
      <c r="E4" s="9">
        <v>5</v>
      </c>
      <c r="F4" s="9">
        <v>28000</v>
      </c>
      <c r="G4" s="9">
        <f t="shared" si="0"/>
        <v>92400</v>
      </c>
      <c r="L4">
        <f>RANK(F3,F:F)</f>
        <v>8</v>
      </c>
      <c r="M4">
        <f>COUNT(Table3[[#Data],[#Totals],[Salary (₹)]])</f>
        <v>16</v>
      </c>
      <c r="N4">
        <f>MEDIAN(Table3[New Salary])</f>
        <v>99000</v>
      </c>
    </row>
    <row r="5" spans="1:14" x14ac:dyDescent="0.3">
      <c r="A5" s="9">
        <v>104</v>
      </c>
      <c r="B5" s="9" t="s">
        <v>63</v>
      </c>
      <c r="C5" s="9" t="s">
        <v>64</v>
      </c>
      <c r="D5" s="10">
        <v>45179</v>
      </c>
      <c r="E5" s="9">
        <v>11</v>
      </c>
      <c r="F5" s="11">
        <v>30000</v>
      </c>
      <c r="G5" s="9">
        <f t="shared" si="0"/>
        <v>99000</v>
      </c>
    </row>
    <row r="6" spans="1:14" x14ac:dyDescent="0.3">
      <c r="A6" s="9">
        <v>105</v>
      </c>
      <c r="B6" s="9" t="s">
        <v>65</v>
      </c>
      <c r="C6" s="9" t="s">
        <v>66</v>
      </c>
      <c r="D6" s="10">
        <v>44321</v>
      </c>
      <c r="E6" s="9">
        <v>9</v>
      </c>
      <c r="F6" s="9">
        <v>27000</v>
      </c>
      <c r="G6" s="9">
        <f t="shared" si="0"/>
        <v>89100</v>
      </c>
    </row>
    <row r="7" spans="1:14" x14ac:dyDescent="0.3">
      <c r="A7" s="9">
        <v>106</v>
      </c>
      <c r="B7" s="9" t="s">
        <v>67</v>
      </c>
      <c r="C7" s="9" t="s">
        <v>60</v>
      </c>
      <c r="D7" s="10">
        <v>44879</v>
      </c>
      <c r="E7" s="9">
        <v>20</v>
      </c>
      <c r="F7" s="9">
        <v>35000</v>
      </c>
      <c r="G7" s="9">
        <f t="shared" si="0"/>
        <v>115500</v>
      </c>
    </row>
    <row r="8" spans="1:14" x14ac:dyDescent="0.3">
      <c r="A8" s="9">
        <v>107</v>
      </c>
      <c r="B8" s="9" t="s">
        <v>68</v>
      </c>
      <c r="C8" s="9" t="s">
        <v>58</v>
      </c>
      <c r="D8" s="10">
        <v>43881</v>
      </c>
      <c r="E8" s="9">
        <v>5</v>
      </c>
      <c r="F8" s="9">
        <v>24000</v>
      </c>
      <c r="G8" s="9">
        <f t="shared" si="0"/>
        <v>79200</v>
      </c>
    </row>
    <row r="9" spans="1:14" x14ac:dyDescent="0.3">
      <c r="A9" s="9">
        <v>108</v>
      </c>
      <c r="B9" s="9" t="s">
        <v>69</v>
      </c>
      <c r="C9" s="9" t="s">
        <v>62</v>
      </c>
      <c r="D9" s="10">
        <v>45146</v>
      </c>
      <c r="E9" s="9">
        <v>3</v>
      </c>
      <c r="F9" s="9">
        <v>40000</v>
      </c>
      <c r="G9" s="9">
        <f t="shared" si="0"/>
        <v>132000</v>
      </c>
    </row>
    <row r="10" spans="1:14" x14ac:dyDescent="0.3">
      <c r="A10" s="9">
        <v>109</v>
      </c>
      <c r="B10" s="9" t="s">
        <v>70</v>
      </c>
      <c r="C10" s="9" t="s">
        <v>71</v>
      </c>
      <c r="D10" s="10">
        <v>44362</v>
      </c>
      <c r="E10" s="9">
        <v>11</v>
      </c>
      <c r="F10" s="9">
        <v>29000</v>
      </c>
      <c r="G10" s="9">
        <f t="shared" si="0"/>
        <v>95700</v>
      </c>
    </row>
    <row r="11" spans="1:14" x14ac:dyDescent="0.3">
      <c r="A11" s="9">
        <v>110</v>
      </c>
      <c r="B11" s="9" t="s">
        <v>72</v>
      </c>
      <c r="C11" s="9" t="s">
        <v>64</v>
      </c>
      <c r="D11" s="10">
        <v>44925</v>
      </c>
      <c r="E11" s="9">
        <v>12</v>
      </c>
      <c r="F11" s="9">
        <v>31000</v>
      </c>
      <c r="G11" s="9">
        <f t="shared" si="0"/>
        <v>102300</v>
      </c>
      <c r="K11" s="1" t="s">
        <v>80</v>
      </c>
    </row>
    <row r="12" spans="1:14" x14ac:dyDescent="0.3">
      <c r="A12" s="9">
        <v>111</v>
      </c>
      <c r="B12" s="9" t="s">
        <v>73</v>
      </c>
      <c r="C12" s="9" t="s">
        <v>66</v>
      </c>
      <c r="D12" s="10">
        <v>43943</v>
      </c>
      <c r="E12" s="9">
        <v>12</v>
      </c>
      <c r="F12" s="9">
        <v>26000</v>
      </c>
      <c r="G12" s="9">
        <f t="shared" si="0"/>
        <v>85800</v>
      </c>
      <c r="K12" s="1">
        <f>SUM(Table3[New Salary])</f>
        <v>1524600</v>
      </c>
    </row>
    <row r="13" spans="1:14" x14ac:dyDescent="0.3">
      <c r="A13" s="9">
        <v>112</v>
      </c>
      <c r="B13" s="9" t="s">
        <v>74</v>
      </c>
      <c r="C13" s="9" t="s">
        <v>71</v>
      </c>
      <c r="D13" s="10">
        <v>45216</v>
      </c>
      <c r="E13" s="9">
        <v>12</v>
      </c>
      <c r="F13" s="9">
        <v>33000</v>
      </c>
      <c r="G13" s="9">
        <f t="shared" si="0"/>
        <v>108900</v>
      </c>
    </row>
    <row r="14" spans="1:14" x14ac:dyDescent="0.3">
      <c r="A14" s="9">
        <v>113</v>
      </c>
      <c r="B14" s="9" t="s">
        <v>75</v>
      </c>
      <c r="C14" s="9" t="s">
        <v>60</v>
      </c>
      <c r="D14" s="10">
        <v>44205</v>
      </c>
      <c r="E14" s="9">
        <v>12</v>
      </c>
      <c r="F14" s="9">
        <v>36000</v>
      </c>
      <c r="G14" s="9">
        <f t="shared" si="0"/>
        <v>118800</v>
      </c>
    </row>
    <row r="15" spans="1:14" x14ac:dyDescent="0.3">
      <c r="A15" s="9">
        <v>114</v>
      </c>
      <c r="B15" s="9" t="s">
        <v>76</v>
      </c>
      <c r="C15" s="9" t="s">
        <v>62</v>
      </c>
      <c r="D15" s="10">
        <v>44631</v>
      </c>
      <c r="E15" s="9">
        <v>12</v>
      </c>
      <c r="F15" s="9">
        <v>39000</v>
      </c>
      <c r="G15" s="9">
        <f t="shared" si="0"/>
        <v>128700</v>
      </c>
    </row>
    <row r="16" spans="1:14" x14ac:dyDescent="0.3">
      <c r="A16" s="9">
        <v>115</v>
      </c>
      <c r="B16" s="9" t="s">
        <v>77</v>
      </c>
      <c r="C16" s="9" t="s">
        <v>58</v>
      </c>
      <c r="D16" s="10">
        <v>45135</v>
      </c>
      <c r="E16" s="9">
        <v>12</v>
      </c>
      <c r="F16" s="9">
        <v>27000</v>
      </c>
      <c r="G16" s="9">
        <f t="shared" si="0"/>
        <v>89100</v>
      </c>
    </row>
    <row r="17" spans="1:7" x14ac:dyDescent="0.3">
      <c r="A17" s="9"/>
      <c r="B17" s="9"/>
      <c r="C17" s="9"/>
      <c r="D17" s="10"/>
      <c r="E17" s="9"/>
      <c r="F17" s="9">
        <f>SUBTOTAL(109,Table3[Salary (₹)])</f>
        <v>462000</v>
      </c>
      <c r="G17" s="14">
        <f>SUBTOTAL(109,Table3[New Salary])</f>
        <v>1524600</v>
      </c>
    </row>
    <row r="18" spans="1:7" x14ac:dyDescent="0.3">
      <c r="F18" s="1" t="s">
        <v>81</v>
      </c>
    </row>
    <row r="19" spans="1:7" x14ac:dyDescent="0.3">
      <c r="F19" s="1">
        <f>MAX(F2:F16)</f>
        <v>40000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Absolute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dcterms:created xsi:type="dcterms:W3CDTF">2026-02-07T06:08:53Z</dcterms:created>
  <dcterms:modified xsi:type="dcterms:W3CDTF">2026-02-11T18:23:03Z</dcterms:modified>
</cp:coreProperties>
</file>