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earn Vern\MS Excel\"/>
    </mc:Choice>
  </mc:AlternateContent>
  <xr:revisionPtr revIDLastSave="0" documentId="13_ncr:1_{F8AF92D2-871F-4617-AE7D-3096F4D4AB5F}" xr6:coauthVersionLast="47" xr6:coauthVersionMax="47" xr10:uidLastSave="{00000000-0000-0000-0000-000000000000}"/>
  <bookViews>
    <workbookView xWindow="-108" yWindow="-108" windowWidth="23256" windowHeight="12456" activeTab="4" xr2:uid="{EBCB239F-4869-4FEB-A1ED-8055604DA4AE}"/>
  </bookViews>
  <sheets>
    <sheet name="Sheet1" sheetId="1" r:id="rId1"/>
    <sheet name="date and time" sheetId="2" r:id="rId2"/>
    <sheet name="conditional formating" sheetId="3" r:id="rId3"/>
    <sheet name="Sheet4" sheetId="4" r:id="rId4"/>
    <sheet name="shapes" sheetId="6" r:id="rId5"/>
  </sheets>
  <definedNames>
    <definedName name="Slicer_Subjec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4" l="1"/>
  <c r="E18" i="4"/>
  <c r="F18" i="4"/>
  <c r="G18" i="4"/>
  <c r="G4" i="2"/>
  <c r="G3" i="2"/>
  <c r="G2" i="2"/>
</calcChain>
</file>

<file path=xl/sharedStrings.xml><?xml version="1.0" encoding="utf-8"?>
<sst xmlns="http://schemas.openxmlformats.org/spreadsheetml/2006/main" count="171" uniqueCount="73">
  <si>
    <t>Roll No</t>
  </si>
  <si>
    <t>Student Name</t>
  </si>
  <si>
    <t>Class</t>
  </si>
  <si>
    <t>Course</t>
  </si>
  <si>
    <t>Total Fees</t>
  </si>
  <si>
    <t>Paid Fees</t>
  </si>
  <si>
    <t>Due Fees</t>
  </si>
  <si>
    <t>Status</t>
  </si>
  <si>
    <t>Admission Date</t>
  </si>
  <si>
    <t>Ankit Gujre</t>
  </si>
  <si>
    <t>10th</t>
  </si>
  <si>
    <t>Computer</t>
  </si>
  <si>
    <t>Pending</t>
  </si>
  <si>
    <t>Riya Sharma</t>
  </si>
  <si>
    <t>9th</t>
  </si>
  <si>
    <t>Science</t>
  </si>
  <si>
    <t>Paid</t>
  </si>
  <si>
    <t>Mohit Verma</t>
  </si>
  <si>
    <t>11th</t>
  </si>
  <si>
    <t>Commerce</t>
  </si>
  <si>
    <t>Priya Singh</t>
  </si>
  <si>
    <t>12th</t>
  </si>
  <si>
    <t>Maths</t>
  </si>
  <si>
    <t>Rahul Meena</t>
  </si>
  <si>
    <t>Sneha Patil</t>
  </si>
  <si>
    <t>Pe</t>
  </si>
  <si>
    <t>ID</t>
  </si>
  <si>
    <t>Name</t>
  </si>
  <si>
    <t>Date of Birth</t>
  </si>
  <si>
    <t>Joining Date</t>
  </si>
  <si>
    <t>Time In</t>
  </si>
  <si>
    <t>Time Out</t>
  </si>
  <si>
    <t>Order DateTime</t>
  </si>
  <si>
    <t>Delivery Date</t>
  </si>
  <si>
    <t>Duration Practice</t>
  </si>
  <si>
    <t>Ankit</t>
  </si>
  <si>
    <t>Rahul</t>
  </si>
  <si>
    <t>Priya</t>
  </si>
  <si>
    <t>Sneha</t>
  </si>
  <si>
    <t>Amit</t>
  </si>
  <si>
    <t>Kiran</t>
  </si>
  <si>
    <t>Neha</t>
  </si>
  <si>
    <t>Vikas</t>
  </si>
  <si>
    <t>Pooja</t>
  </si>
  <si>
    <t>Arjun</t>
  </si>
  <si>
    <t>custom</t>
  </si>
  <si>
    <t>ctrl + shift + 3</t>
  </si>
  <si>
    <t>ctrl + shift + 2</t>
  </si>
  <si>
    <t>Subject</t>
  </si>
  <si>
    <t>Marks</t>
  </si>
  <si>
    <t>Attendance %</t>
  </si>
  <si>
    <t>Result</t>
  </si>
  <si>
    <t>Math</t>
  </si>
  <si>
    <t>Pass</t>
  </si>
  <si>
    <t>Fail</t>
  </si>
  <si>
    <t>English</t>
  </si>
  <si>
    <t>Ravi</t>
  </si>
  <si>
    <t>Simran</t>
  </si>
  <si>
    <t>Mohit</t>
  </si>
  <si>
    <t>Riya</t>
  </si>
  <si>
    <t>Kajal</t>
  </si>
  <si>
    <t>Marks2</t>
  </si>
  <si>
    <t>Total</t>
  </si>
  <si>
    <t>Shape</t>
  </si>
  <si>
    <t>Practice</t>
  </si>
  <si>
    <t>Rectangle</t>
  </si>
  <si>
    <t>Fill color, outline, shadow</t>
  </si>
  <si>
    <t>Rounded Rectangle</t>
  </si>
  <si>
    <t>Corner radius + gradient</t>
  </si>
  <si>
    <t>Circle/Oval</t>
  </si>
  <si>
    <t>Perfect shape + glow</t>
  </si>
  <si>
    <t>Triangle</t>
  </si>
  <si>
    <t>Rotate + transparency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</si>
</sst>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 #,##0.00"/>
    <numFmt numFmtId="165" formatCode="0.00_ ;\-0.00\ "/>
    <numFmt numFmtId="166" formatCode="000\ 000\ 000"/>
    <numFmt numFmtId="168" formatCode="[$-F800]dddd\,\ mmmm\ dd\,\ yyyy"/>
    <numFmt numFmtId="169" formatCode="mm\/dd\/yyyy"/>
    <numFmt numFmtId="173" formatCode="[$-10409]hh:mm\ AM/PM;@"/>
    <numFmt numFmtId="174" formatCode="[$-14009]hh:mm;@"/>
  </numFmts>
  <fonts count="6" x14ac:knownFonts="1">
    <font>
      <sz val="11"/>
      <color theme="1"/>
      <name val="Calibri"/>
      <family val="2"/>
      <scheme val="minor"/>
    </font>
    <font>
      <b/>
      <sz val="11"/>
      <color theme="1"/>
      <name val="Arial"/>
      <family val="2"/>
    </font>
    <font>
      <b/>
      <sz val="11"/>
      <color theme="1"/>
      <name val="Calibri"/>
      <family val="2"/>
      <scheme val="minor"/>
    </font>
    <font>
      <sz val="14"/>
      <color theme="1"/>
      <name val="Calibri"/>
      <family val="2"/>
      <scheme val="minor"/>
    </font>
    <font>
      <sz val="16"/>
      <color theme="1"/>
      <name val="Calibri"/>
      <family val="2"/>
      <scheme val="minor"/>
    </font>
    <font>
      <sz val="14"/>
      <color rgb="FFFF0000"/>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4">
    <xf numFmtId="0" fontId="0" fillId="0" borderId="0" xfId="0"/>
    <xf numFmtId="0" fontId="0" fillId="0" borderId="0" xfId="0" applyAlignment="1">
      <alignment vertical="center" wrapText="1"/>
    </xf>
    <xf numFmtId="14" fontId="0" fillId="0" borderId="0" xfId="0" applyNumberFormat="1" applyAlignment="1">
      <alignment vertical="center" wrapText="1"/>
    </xf>
    <xf numFmtId="0" fontId="1" fillId="2" borderId="0" xfId="0" applyFont="1" applyFill="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0" xfId="0" applyBorder="1" applyAlignment="1">
      <alignment vertical="center" wrapText="1"/>
    </xf>
    <xf numFmtId="164" fontId="1" fillId="2" borderId="0" xfId="0" applyNumberFormat="1" applyFont="1" applyFill="1" applyAlignment="1">
      <alignment horizontal="center" vertical="center" wrapText="1"/>
    </xf>
    <xf numFmtId="164" fontId="0" fillId="0" borderId="0" xfId="0" applyNumberFormat="1" applyAlignment="1">
      <alignment vertical="center" wrapText="1"/>
    </xf>
    <xf numFmtId="164" fontId="0" fillId="0" borderId="0" xfId="0" applyNumberFormat="1"/>
    <xf numFmtId="165" fontId="1" fillId="2" borderId="0" xfId="0" applyNumberFormat="1" applyFont="1" applyFill="1" applyAlignment="1">
      <alignment horizontal="center" vertical="center" wrapText="1"/>
    </xf>
    <xf numFmtId="165" fontId="0" fillId="0" borderId="0" xfId="0" applyNumberFormat="1" applyAlignment="1">
      <alignment vertical="center" wrapText="1"/>
    </xf>
    <xf numFmtId="165" fontId="0" fillId="0" borderId="0" xfId="0" applyNumberFormat="1"/>
    <xf numFmtId="166" fontId="0" fillId="0" borderId="0" xfId="0" applyNumberFormat="1"/>
    <xf numFmtId="0" fontId="0" fillId="0" borderId="0" xfId="0" applyAlignment="1">
      <alignment horizontal="center"/>
    </xf>
    <xf numFmtId="0" fontId="3" fillId="0" borderId="0" xfId="0" applyFont="1" applyAlignment="1">
      <alignment horizontal="center"/>
    </xf>
    <xf numFmtId="14" fontId="3" fillId="0" borderId="0" xfId="0" applyNumberFormat="1" applyFont="1" applyAlignment="1">
      <alignment horizontal="center"/>
    </xf>
    <xf numFmtId="18" fontId="3" fillId="0" borderId="0" xfId="0" applyNumberFormat="1" applyFont="1" applyAlignment="1">
      <alignment horizontal="center"/>
    </xf>
    <xf numFmtId="0" fontId="3" fillId="0" borderId="0" xfId="0" applyFont="1"/>
    <xf numFmtId="168" fontId="3" fillId="0" borderId="0" xfId="0" applyNumberFormat="1" applyFont="1" applyAlignment="1">
      <alignment horizontal="center"/>
    </xf>
    <xf numFmtId="168" fontId="0" fillId="0" borderId="0" xfId="0" applyNumberFormat="1"/>
    <xf numFmtId="169" fontId="3" fillId="0" borderId="0" xfId="0" applyNumberFormat="1" applyFont="1" applyAlignment="1">
      <alignment horizontal="center"/>
    </xf>
    <xf numFmtId="169" fontId="0" fillId="0" borderId="0" xfId="0" applyNumberFormat="1"/>
    <xf numFmtId="169" fontId="4" fillId="2" borderId="0" xfId="0" applyNumberFormat="1" applyFont="1" applyFill="1"/>
    <xf numFmtId="15" fontId="3" fillId="0" borderId="0" xfId="0" applyNumberFormat="1" applyFont="1" applyAlignment="1">
      <alignment horizontal="center"/>
    </xf>
    <xf numFmtId="173" fontId="3" fillId="0" borderId="0" xfId="0" applyNumberFormat="1" applyFont="1" applyAlignment="1">
      <alignment horizontal="center"/>
    </xf>
    <xf numFmtId="173" fontId="0" fillId="0" borderId="0" xfId="0" applyNumberFormat="1"/>
    <xf numFmtId="174" fontId="3" fillId="0" borderId="0" xfId="0" applyNumberFormat="1" applyFont="1" applyAlignment="1">
      <alignment horizontal="center"/>
    </xf>
    <xf numFmtId="174" fontId="0" fillId="0" borderId="0" xfId="0" applyNumberFormat="1"/>
    <xf numFmtId="0" fontId="3" fillId="2" borderId="0" xfId="0" applyFont="1" applyFill="1" applyAlignment="1">
      <alignment horizontal="center"/>
    </xf>
    <xf numFmtId="0" fontId="0" fillId="2" borderId="0" xfId="0" applyFill="1" applyAlignment="1">
      <alignment horizontal="center"/>
    </xf>
    <xf numFmtId="0" fontId="5" fillId="2" borderId="0" xfId="0" applyFont="1" applyFill="1" applyAlignment="1">
      <alignment horizontal="center"/>
    </xf>
    <xf numFmtId="0" fontId="2" fillId="0" borderId="0" xfId="0" applyFont="1" applyAlignment="1">
      <alignment horizontal="center" vertical="center" wrapText="1"/>
    </xf>
  </cellXfs>
  <cellStyles count="1">
    <cellStyle name="Normal" xfId="0" builtinId="0"/>
  </cellStyles>
  <dxfs count="32">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rgb="FFFF0000"/>
        <name val="Calibri"/>
        <family val="2"/>
        <scheme val="minor"/>
      </font>
      <fill>
        <patternFill patternType="solid">
          <fgColor indexed="64"/>
          <bgColor rgb="FFFFFF00"/>
        </patternFill>
      </fill>
      <alignment horizontal="center" vertical="bottom"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2F4EB63-C8A8-42CB-B388-4A2A9CEC1F7A}"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IN"/>
        </a:p>
      </dgm:t>
    </dgm:pt>
    <dgm:pt modelId="{50FA85F3-AEA3-4F16-8DEA-8CB352E5FE20}">
      <dgm:prSet phldrT="[Text]"/>
      <dgm:spPr/>
      <dgm:t>
        <a:bodyPr/>
        <a:lstStyle/>
        <a:p>
          <a:r>
            <a:rPr lang="en-IN"/>
            <a:t>Start</a:t>
          </a:r>
        </a:p>
      </dgm:t>
    </dgm:pt>
    <dgm:pt modelId="{129BC923-8097-47CE-B37D-FFE6FF05A717}" type="parTrans" cxnId="{4FFAA39A-C51F-432D-AEB7-4C5DA30989FD}">
      <dgm:prSet/>
      <dgm:spPr/>
      <dgm:t>
        <a:bodyPr/>
        <a:lstStyle/>
        <a:p>
          <a:endParaRPr lang="en-IN"/>
        </a:p>
      </dgm:t>
    </dgm:pt>
    <dgm:pt modelId="{90E89178-B5C8-467E-8DDF-9CBFE2263D24}" type="sibTrans" cxnId="{4FFAA39A-C51F-432D-AEB7-4C5DA30989FD}">
      <dgm:prSet/>
      <dgm:spPr/>
      <dgm:t>
        <a:bodyPr/>
        <a:lstStyle/>
        <a:p>
          <a:endParaRPr lang="en-IN"/>
        </a:p>
      </dgm:t>
    </dgm:pt>
    <dgm:pt modelId="{59E3B09E-AA1B-45E9-B8CB-2E95A949B01E}">
      <dgm:prSet phldrT="[Text]" phldr="1"/>
      <dgm:spPr/>
      <dgm:t>
        <a:bodyPr/>
        <a:lstStyle/>
        <a:p>
          <a:endParaRPr lang="en-IN"/>
        </a:p>
      </dgm:t>
    </dgm:pt>
    <dgm:pt modelId="{0393412C-AD25-41C3-BEE4-3FC8874FA4CF}" type="parTrans" cxnId="{E9FE74AC-ED67-4C29-9909-0877053E1BD7}">
      <dgm:prSet/>
      <dgm:spPr/>
      <dgm:t>
        <a:bodyPr/>
        <a:lstStyle/>
        <a:p>
          <a:endParaRPr lang="en-IN"/>
        </a:p>
      </dgm:t>
    </dgm:pt>
    <dgm:pt modelId="{93D933E8-5ECC-4405-83E9-86D01F7623F8}" type="sibTrans" cxnId="{E9FE74AC-ED67-4C29-9909-0877053E1BD7}">
      <dgm:prSet/>
      <dgm:spPr/>
      <dgm:t>
        <a:bodyPr/>
        <a:lstStyle/>
        <a:p>
          <a:endParaRPr lang="en-IN"/>
        </a:p>
      </dgm:t>
    </dgm:pt>
    <dgm:pt modelId="{CBD68147-0029-4D07-B66C-96F33F364730}">
      <dgm:prSet phldrT="[Text]"/>
      <dgm:spPr/>
      <dgm:t>
        <a:bodyPr/>
        <a:lstStyle/>
        <a:p>
          <a:r>
            <a:rPr lang="en-IN"/>
            <a:t>Development</a:t>
          </a:r>
        </a:p>
      </dgm:t>
    </dgm:pt>
    <dgm:pt modelId="{25BDE831-39DC-4F01-9506-7F3910328EAC}" type="parTrans" cxnId="{BC4DE124-781B-427F-AFFD-B3FB162A6221}">
      <dgm:prSet/>
      <dgm:spPr/>
      <dgm:t>
        <a:bodyPr/>
        <a:lstStyle/>
        <a:p>
          <a:endParaRPr lang="en-IN"/>
        </a:p>
      </dgm:t>
    </dgm:pt>
    <dgm:pt modelId="{661614CB-D411-4D30-BCEB-99BC4258A2C2}" type="sibTrans" cxnId="{BC4DE124-781B-427F-AFFD-B3FB162A6221}">
      <dgm:prSet/>
      <dgm:spPr/>
      <dgm:t>
        <a:bodyPr/>
        <a:lstStyle/>
        <a:p>
          <a:endParaRPr lang="en-IN"/>
        </a:p>
      </dgm:t>
    </dgm:pt>
    <dgm:pt modelId="{83FFBEC0-C432-4569-B473-59CE5F5A4D55}">
      <dgm:prSet phldrT="[Text]" phldr="1"/>
      <dgm:spPr/>
      <dgm:t>
        <a:bodyPr/>
        <a:lstStyle/>
        <a:p>
          <a:endParaRPr lang="en-IN"/>
        </a:p>
      </dgm:t>
    </dgm:pt>
    <dgm:pt modelId="{7F511DB6-C337-4AFB-A052-CE85BD2F068D}" type="parTrans" cxnId="{E7AF8E66-9907-407C-9E30-ADF644858A48}">
      <dgm:prSet/>
      <dgm:spPr/>
      <dgm:t>
        <a:bodyPr/>
        <a:lstStyle/>
        <a:p>
          <a:endParaRPr lang="en-IN"/>
        </a:p>
      </dgm:t>
    </dgm:pt>
    <dgm:pt modelId="{508E6B2C-DE85-46E4-83DD-657314109177}" type="sibTrans" cxnId="{E7AF8E66-9907-407C-9E30-ADF644858A48}">
      <dgm:prSet/>
      <dgm:spPr/>
      <dgm:t>
        <a:bodyPr/>
        <a:lstStyle/>
        <a:p>
          <a:endParaRPr lang="en-IN"/>
        </a:p>
      </dgm:t>
    </dgm:pt>
    <dgm:pt modelId="{ACD470D5-3AD1-422F-A87B-8609B406BB98}">
      <dgm:prSet phldrT="[Text]"/>
      <dgm:spPr/>
      <dgm:t>
        <a:bodyPr/>
        <a:lstStyle/>
        <a:p>
          <a:r>
            <a:rPr lang="en-IN"/>
            <a:t>Deploy</a:t>
          </a:r>
        </a:p>
      </dgm:t>
    </dgm:pt>
    <dgm:pt modelId="{1D1D408B-75C9-4E7D-969D-A5D136E19FDE}" type="parTrans" cxnId="{7262E85F-E743-4237-B4C1-CF8F394D302F}">
      <dgm:prSet/>
      <dgm:spPr/>
      <dgm:t>
        <a:bodyPr/>
        <a:lstStyle/>
        <a:p>
          <a:endParaRPr lang="en-IN"/>
        </a:p>
      </dgm:t>
    </dgm:pt>
    <dgm:pt modelId="{BCF0DE2F-AEF7-4510-B75C-594D8728511B}" type="sibTrans" cxnId="{7262E85F-E743-4237-B4C1-CF8F394D302F}">
      <dgm:prSet/>
      <dgm:spPr/>
      <dgm:t>
        <a:bodyPr/>
        <a:lstStyle/>
        <a:p>
          <a:endParaRPr lang="en-IN"/>
        </a:p>
      </dgm:t>
    </dgm:pt>
    <dgm:pt modelId="{9D23D75B-68DA-4C51-88FC-BBD566375902}">
      <dgm:prSet phldrT="[Text]"/>
      <dgm:spPr/>
      <dgm:t>
        <a:bodyPr/>
        <a:lstStyle/>
        <a:p>
          <a:r>
            <a:rPr lang="en-IN"/>
            <a:t>End</a:t>
          </a:r>
        </a:p>
      </dgm:t>
    </dgm:pt>
    <dgm:pt modelId="{2E3606A8-A4BA-456F-BC54-470D42DCC41C}" type="parTrans" cxnId="{9B926DCD-0E87-4F67-A96B-81DE9B470C99}">
      <dgm:prSet/>
      <dgm:spPr/>
      <dgm:t>
        <a:bodyPr/>
        <a:lstStyle/>
        <a:p>
          <a:endParaRPr lang="en-IN"/>
        </a:p>
      </dgm:t>
    </dgm:pt>
    <dgm:pt modelId="{FCD28CC7-441B-4DE0-9112-21ED327637D9}" type="sibTrans" cxnId="{9B926DCD-0E87-4F67-A96B-81DE9B470C99}">
      <dgm:prSet/>
      <dgm:spPr/>
      <dgm:t>
        <a:bodyPr/>
        <a:lstStyle/>
        <a:p>
          <a:endParaRPr lang="en-IN"/>
        </a:p>
      </dgm:t>
    </dgm:pt>
    <dgm:pt modelId="{415F374F-7FF7-4C06-94A7-C8121202F2D0}" type="pres">
      <dgm:prSet presAssocID="{62F4EB63-C8A8-42CB-B388-4A2A9CEC1F7A}" presName="rootnode" presStyleCnt="0">
        <dgm:presLayoutVars>
          <dgm:chMax/>
          <dgm:chPref/>
          <dgm:dir/>
          <dgm:animLvl val="lvl"/>
        </dgm:presLayoutVars>
      </dgm:prSet>
      <dgm:spPr/>
    </dgm:pt>
    <dgm:pt modelId="{EE1B9F6A-2FC9-4F58-B62A-9FA782ECF110}" type="pres">
      <dgm:prSet presAssocID="{50FA85F3-AEA3-4F16-8DEA-8CB352E5FE20}" presName="composite" presStyleCnt="0"/>
      <dgm:spPr/>
    </dgm:pt>
    <dgm:pt modelId="{BA75E42E-9BCC-42A9-A86D-4754CB59F501}" type="pres">
      <dgm:prSet presAssocID="{50FA85F3-AEA3-4F16-8DEA-8CB352E5FE20}" presName="bentUpArrow1" presStyleLbl="alignImgPlace1" presStyleIdx="0" presStyleCnt="2"/>
      <dgm:spPr/>
    </dgm:pt>
    <dgm:pt modelId="{41D93376-55AA-4CF7-81C5-43C1ACE57E1C}" type="pres">
      <dgm:prSet presAssocID="{50FA85F3-AEA3-4F16-8DEA-8CB352E5FE20}" presName="ParentText" presStyleLbl="node1" presStyleIdx="0" presStyleCnt="3" custLinFactNeighborX="-3586" custLinFactNeighborY="-4956">
        <dgm:presLayoutVars>
          <dgm:chMax val="1"/>
          <dgm:chPref val="1"/>
          <dgm:bulletEnabled val="1"/>
        </dgm:presLayoutVars>
      </dgm:prSet>
      <dgm:spPr/>
    </dgm:pt>
    <dgm:pt modelId="{87FE9CFD-67E2-4FCB-8554-2D3E76972B4B}" type="pres">
      <dgm:prSet presAssocID="{50FA85F3-AEA3-4F16-8DEA-8CB352E5FE20}" presName="ChildText" presStyleLbl="revTx" presStyleIdx="0" presStyleCnt="3">
        <dgm:presLayoutVars>
          <dgm:chMax val="0"/>
          <dgm:chPref val="0"/>
          <dgm:bulletEnabled val="1"/>
        </dgm:presLayoutVars>
      </dgm:prSet>
      <dgm:spPr/>
    </dgm:pt>
    <dgm:pt modelId="{B9748488-6B0C-4ED5-B5D8-7A4B1A31AAF7}" type="pres">
      <dgm:prSet presAssocID="{90E89178-B5C8-467E-8DDF-9CBFE2263D24}" presName="sibTrans" presStyleCnt="0"/>
      <dgm:spPr/>
    </dgm:pt>
    <dgm:pt modelId="{684E9FDE-D1D3-4209-A053-973ADCED3D4A}" type="pres">
      <dgm:prSet presAssocID="{CBD68147-0029-4D07-B66C-96F33F364730}" presName="composite" presStyleCnt="0"/>
      <dgm:spPr/>
    </dgm:pt>
    <dgm:pt modelId="{5D995AA8-9627-4CC8-819A-D6672663A290}" type="pres">
      <dgm:prSet presAssocID="{CBD68147-0029-4D07-B66C-96F33F364730}" presName="bentUpArrow1" presStyleLbl="alignImgPlace1" presStyleIdx="1" presStyleCnt="2"/>
      <dgm:spPr/>
    </dgm:pt>
    <dgm:pt modelId="{CBA5D23B-A2E3-4E63-A681-E79FB03DBF23}" type="pres">
      <dgm:prSet presAssocID="{CBD68147-0029-4D07-B66C-96F33F364730}" presName="ParentText" presStyleLbl="node1" presStyleIdx="1" presStyleCnt="3">
        <dgm:presLayoutVars>
          <dgm:chMax val="1"/>
          <dgm:chPref val="1"/>
          <dgm:bulletEnabled val="1"/>
        </dgm:presLayoutVars>
      </dgm:prSet>
      <dgm:spPr/>
    </dgm:pt>
    <dgm:pt modelId="{6E849F6A-B600-4532-8FCA-CAF5FA8B2388}" type="pres">
      <dgm:prSet presAssocID="{CBD68147-0029-4D07-B66C-96F33F364730}" presName="ChildText" presStyleLbl="revTx" presStyleIdx="1" presStyleCnt="3">
        <dgm:presLayoutVars>
          <dgm:chMax val="0"/>
          <dgm:chPref val="0"/>
          <dgm:bulletEnabled val="1"/>
        </dgm:presLayoutVars>
      </dgm:prSet>
      <dgm:spPr/>
    </dgm:pt>
    <dgm:pt modelId="{734A8AFE-E7F8-470E-B94D-B7A2AB3A7588}" type="pres">
      <dgm:prSet presAssocID="{661614CB-D411-4D30-BCEB-99BC4258A2C2}" presName="sibTrans" presStyleCnt="0"/>
      <dgm:spPr/>
    </dgm:pt>
    <dgm:pt modelId="{2EEA1691-AAA0-4508-BA05-E999295774B4}" type="pres">
      <dgm:prSet presAssocID="{ACD470D5-3AD1-422F-A87B-8609B406BB98}" presName="composite" presStyleCnt="0"/>
      <dgm:spPr/>
    </dgm:pt>
    <dgm:pt modelId="{4F14B723-E764-4498-AF66-CEDB96DA6F02}" type="pres">
      <dgm:prSet presAssocID="{ACD470D5-3AD1-422F-A87B-8609B406BB98}" presName="ParentText" presStyleLbl="node1" presStyleIdx="2" presStyleCnt="3">
        <dgm:presLayoutVars>
          <dgm:chMax val="1"/>
          <dgm:chPref val="1"/>
          <dgm:bulletEnabled val="1"/>
        </dgm:presLayoutVars>
      </dgm:prSet>
      <dgm:spPr/>
    </dgm:pt>
    <dgm:pt modelId="{AE4E67D2-C758-4244-BC06-B74C52B928F4}" type="pres">
      <dgm:prSet presAssocID="{ACD470D5-3AD1-422F-A87B-8609B406BB98}" presName="FinalChildText" presStyleLbl="revTx" presStyleIdx="2" presStyleCnt="3">
        <dgm:presLayoutVars>
          <dgm:chMax val="0"/>
          <dgm:chPref val="0"/>
          <dgm:bulletEnabled val="1"/>
        </dgm:presLayoutVars>
      </dgm:prSet>
      <dgm:spPr/>
    </dgm:pt>
  </dgm:ptLst>
  <dgm:cxnLst>
    <dgm:cxn modelId="{3599A608-D735-4FFE-A66C-DAB20C683100}" type="presOf" srcId="{CBD68147-0029-4D07-B66C-96F33F364730}" destId="{CBA5D23B-A2E3-4E63-A681-E79FB03DBF23}" srcOrd="0" destOrd="0" presId="urn:microsoft.com/office/officeart/2005/8/layout/StepDownProcess"/>
    <dgm:cxn modelId="{FB8B7E21-44C4-47F6-8F19-F2DEB15C2CD6}" type="presOf" srcId="{83FFBEC0-C432-4569-B473-59CE5F5A4D55}" destId="{6E849F6A-B600-4532-8FCA-CAF5FA8B2388}" srcOrd="0" destOrd="0" presId="urn:microsoft.com/office/officeart/2005/8/layout/StepDownProcess"/>
    <dgm:cxn modelId="{BC4DE124-781B-427F-AFFD-B3FB162A6221}" srcId="{62F4EB63-C8A8-42CB-B388-4A2A9CEC1F7A}" destId="{CBD68147-0029-4D07-B66C-96F33F364730}" srcOrd="1" destOrd="0" parTransId="{25BDE831-39DC-4F01-9506-7F3910328EAC}" sibTransId="{661614CB-D411-4D30-BCEB-99BC4258A2C2}"/>
    <dgm:cxn modelId="{7262E85F-E743-4237-B4C1-CF8F394D302F}" srcId="{62F4EB63-C8A8-42CB-B388-4A2A9CEC1F7A}" destId="{ACD470D5-3AD1-422F-A87B-8609B406BB98}" srcOrd="2" destOrd="0" parTransId="{1D1D408B-75C9-4E7D-969D-A5D136E19FDE}" sibTransId="{BCF0DE2F-AEF7-4510-B75C-594D8728511B}"/>
    <dgm:cxn modelId="{E7AF8E66-9907-407C-9E30-ADF644858A48}" srcId="{CBD68147-0029-4D07-B66C-96F33F364730}" destId="{83FFBEC0-C432-4569-B473-59CE5F5A4D55}" srcOrd="0" destOrd="0" parTransId="{7F511DB6-C337-4AFB-A052-CE85BD2F068D}" sibTransId="{508E6B2C-DE85-46E4-83DD-657314109177}"/>
    <dgm:cxn modelId="{44A6C047-12E9-48BF-91CE-222EE2CD43FA}" type="presOf" srcId="{ACD470D5-3AD1-422F-A87B-8609B406BB98}" destId="{4F14B723-E764-4498-AF66-CEDB96DA6F02}" srcOrd="0" destOrd="0" presId="urn:microsoft.com/office/officeart/2005/8/layout/StepDownProcess"/>
    <dgm:cxn modelId="{56E54E4C-AD2B-4571-BAC9-102E1CF1A4E4}" type="presOf" srcId="{50FA85F3-AEA3-4F16-8DEA-8CB352E5FE20}" destId="{41D93376-55AA-4CF7-81C5-43C1ACE57E1C}" srcOrd="0" destOrd="0" presId="urn:microsoft.com/office/officeart/2005/8/layout/StepDownProcess"/>
    <dgm:cxn modelId="{21DCA36C-995F-43BC-98DE-ED81F7ED4B4C}" type="presOf" srcId="{62F4EB63-C8A8-42CB-B388-4A2A9CEC1F7A}" destId="{415F374F-7FF7-4C06-94A7-C8121202F2D0}" srcOrd="0" destOrd="0" presId="urn:microsoft.com/office/officeart/2005/8/layout/StepDownProcess"/>
    <dgm:cxn modelId="{D7828A87-2A80-4676-8EAE-736D4BF77C35}" type="presOf" srcId="{59E3B09E-AA1B-45E9-B8CB-2E95A949B01E}" destId="{87FE9CFD-67E2-4FCB-8554-2D3E76972B4B}" srcOrd="0" destOrd="0" presId="urn:microsoft.com/office/officeart/2005/8/layout/StepDownProcess"/>
    <dgm:cxn modelId="{89BFCB8D-6707-4EC2-A4FE-1E22D970C7EB}" type="presOf" srcId="{9D23D75B-68DA-4C51-88FC-BBD566375902}" destId="{AE4E67D2-C758-4244-BC06-B74C52B928F4}" srcOrd="0" destOrd="0" presId="urn:microsoft.com/office/officeart/2005/8/layout/StepDownProcess"/>
    <dgm:cxn modelId="{4FFAA39A-C51F-432D-AEB7-4C5DA30989FD}" srcId="{62F4EB63-C8A8-42CB-B388-4A2A9CEC1F7A}" destId="{50FA85F3-AEA3-4F16-8DEA-8CB352E5FE20}" srcOrd="0" destOrd="0" parTransId="{129BC923-8097-47CE-B37D-FFE6FF05A717}" sibTransId="{90E89178-B5C8-467E-8DDF-9CBFE2263D24}"/>
    <dgm:cxn modelId="{E9FE74AC-ED67-4C29-9909-0877053E1BD7}" srcId="{50FA85F3-AEA3-4F16-8DEA-8CB352E5FE20}" destId="{59E3B09E-AA1B-45E9-B8CB-2E95A949B01E}" srcOrd="0" destOrd="0" parTransId="{0393412C-AD25-41C3-BEE4-3FC8874FA4CF}" sibTransId="{93D933E8-5ECC-4405-83E9-86D01F7623F8}"/>
    <dgm:cxn modelId="{9B926DCD-0E87-4F67-A96B-81DE9B470C99}" srcId="{ACD470D5-3AD1-422F-A87B-8609B406BB98}" destId="{9D23D75B-68DA-4C51-88FC-BBD566375902}" srcOrd="0" destOrd="0" parTransId="{2E3606A8-A4BA-456F-BC54-470D42DCC41C}" sibTransId="{FCD28CC7-441B-4DE0-9112-21ED327637D9}"/>
    <dgm:cxn modelId="{4AA3F6E7-5C66-4D33-BEF0-3BE627748CB0}" type="presParOf" srcId="{415F374F-7FF7-4C06-94A7-C8121202F2D0}" destId="{EE1B9F6A-2FC9-4F58-B62A-9FA782ECF110}" srcOrd="0" destOrd="0" presId="urn:microsoft.com/office/officeart/2005/8/layout/StepDownProcess"/>
    <dgm:cxn modelId="{E768691D-0CE5-4014-A409-1C7138102BA4}" type="presParOf" srcId="{EE1B9F6A-2FC9-4F58-B62A-9FA782ECF110}" destId="{BA75E42E-9BCC-42A9-A86D-4754CB59F501}" srcOrd="0" destOrd="0" presId="urn:microsoft.com/office/officeart/2005/8/layout/StepDownProcess"/>
    <dgm:cxn modelId="{DD07FCB2-F9BF-4D10-B147-3BBA2BD54BDC}" type="presParOf" srcId="{EE1B9F6A-2FC9-4F58-B62A-9FA782ECF110}" destId="{41D93376-55AA-4CF7-81C5-43C1ACE57E1C}" srcOrd="1" destOrd="0" presId="urn:microsoft.com/office/officeart/2005/8/layout/StepDownProcess"/>
    <dgm:cxn modelId="{3BD2979A-E9E0-4750-B55B-4AC2629DA13C}" type="presParOf" srcId="{EE1B9F6A-2FC9-4F58-B62A-9FA782ECF110}" destId="{87FE9CFD-67E2-4FCB-8554-2D3E76972B4B}" srcOrd="2" destOrd="0" presId="urn:microsoft.com/office/officeart/2005/8/layout/StepDownProcess"/>
    <dgm:cxn modelId="{95A68969-375A-4A4F-A461-B9BDC6E3CA8F}" type="presParOf" srcId="{415F374F-7FF7-4C06-94A7-C8121202F2D0}" destId="{B9748488-6B0C-4ED5-B5D8-7A4B1A31AAF7}" srcOrd="1" destOrd="0" presId="urn:microsoft.com/office/officeart/2005/8/layout/StepDownProcess"/>
    <dgm:cxn modelId="{0C9EA807-4B4D-4438-ADE9-FD23B5E2D1DC}" type="presParOf" srcId="{415F374F-7FF7-4C06-94A7-C8121202F2D0}" destId="{684E9FDE-D1D3-4209-A053-973ADCED3D4A}" srcOrd="2" destOrd="0" presId="urn:microsoft.com/office/officeart/2005/8/layout/StepDownProcess"/>
    <dgm:cxn modelId="{380E4994-4F03-4865-BE89-0E0409A46071}" type="presParOf" srcId="{684E9FDE-D1D3-4209-A053-973ADCED3D4A}" destId="{5D995AA8-9627-4CC8-819A-D6672663A290}" srcOrd="0" destOrd="0" presId="urn:microsoft.com/office/officeart/2005/8/layout/StepDownProcess"/>
    <dgm:cxn modelId="{62E7AB57-E1FB-473C-A845-DC57235575A6}" type="presParOf" srcId="{684E9FDE-D1D3-4209-A053-973ADCED3D4A}" destId="{CBA5D23B-A2E3-4E63-A681-E79FB03DBF23}" srcOrd="1" destOrd="0" presId="urn:microsoft.com/office/officeart/2005/8/layout/StepDownProcess"/>
    <dgm:cxn modelId="{88745CB7-CB18-4D36-85BC-631C09B30CDD}" type="presParOf" srcId="{684E9FDE-D1D3-4209-A053-973ADCED3D4A}" destId="{6E849F6A-B600-4532-8FCA-CAF5FA8B2388}" srcOrd="2" destOrd="0" presId="urn:microsoft.com/office/officeart/2005/8/layout/StepDownProcess"/>
    <dgm:cxn modelId="{30DADE96-274A-489D-A84D-593E9512D59E}" type="presParOf" srcId="{415F374F-7FF7-4C06-94A7-C8121202F2D0}" destId="{734A8AFE-E7F8-470E-B94D-B7A2AB3A7588}" srcOrd="3" destOrd="0" presId="urn:microsoft.com/office/officeart/2005/8/layout/StepDownProcess"/>
    <dgm:cxn modelId="{67991121-8F5F-4337-9F39-757EB93ECB3E}" type="presParOf" srcId="{415F374F-7FF7-4C06-94A7-C8121202F2D0}" destId="{2EEA1691-AAA0-4508-BA05-E999295774B4}" srcOrd="4" destOrd="0" presId="urn:microsoft.com/office/officeart/2005/8/layout/StepDownProcess"/>
    <dgm:cxn modelId="{D613BF86-3ABB-4194-99FF-A9AC4F384CFB}" type="presParOf" srcId="{2EEA1691-AAA0-4508-BA05-E999295774B4}" destId="{4F14B723-E764-4498-AF66-CEDB96DA6F02}" srcOrd="0" destOrd="0" presId="urn:microsoft.com/office/officeart/2005/8/layout/StepDownProcess"/>
    <dgm:cxn modelId="{76A7129A-8B27-4119-9FA3-AD1D4F0AE159}" type="presParOf" srcId="{2EEA1691-AAA0-4508-BA05-E999295774B4}" destId="{AE4E67D2-C758-4244-BC06-B74C52B928F4}"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A75E42E-9BCC-42A9-A86D-4754CB59F501}">
      <dsp:nvSpPr>
        <dsp:cNvPr id="0" name=""/>
        <dsp:cNvSpPr/>
      </dsp:nvSpPr>
      <dsp:spPr>
        <a:xfrm rot="5400000">
          <a:off x="216759" y="713538"/>
          <a:ext cx="631063" cy="718443"/>
        </a:xfrm>
        <a:prstGeom prst="bentUpArrow">
          <a:avLst>
            <a:gd name="adj1" fmla="val 32840"/>
            <a:gd name="adj2" fmla="val 25000"/>
            <a:gd name="adj3" fmla="val 35780"/>
          </a:avLst>
        </a:prstGeom>
        <a:solidFill>
          <a:schemeClr val="accent1">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41D93376-55AA-4CF7-81C5-43C1ACE57E1C}">
      <dsp:nvSpPr>
        <dsp:cNvPr id="0" name=""/>
        <dsp:cNvSpPr/>
      </dsp:nvSpPr>
      <dsp:spPr>
        <a:xfrm>
          <a:off x="11470" y="0"/>
          <a:ext cx="1062339" cy="743602"/>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lang="en-IN" sz="1200" kern="1200"/>
            <a:t>Start</a:t>
          </a:r>
        </a:p>
      </dsp:txBody>
      <dsp:txXfrm>
        <a:off x="47776" y="36306"/>
        <a:ext cx="989727" cy="670990"/>
      </dsp:txXfrm>
    </dsp:sp>
    <dsp:sp modelId="{87FE9CFD-67E2-4FCB-8554-2D3E76972B4B}">
      <dsp:nvSpPr>
        <dsp:cNvPr id="0" name=""/>
        <dsp:cNvSpPr/>
      </dsp:nvSpPr>
      <dsp:spPr>
        <a:xfrm>
          <a:off x="1111905" y="84911"/>
          <a:ext cx="772644" cy="60101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57150" lvl="1" indent="-57150" algn="l" defTabSz="400050">
            <a:lnSpc>
              <a:spcPct val="90000"/>
            </a:lnSpc>
            <a:spcBef>
              <a:spcPct val="0"/>
            </a:spcBef>
            <a:spcAft>
              <a:spcPct val="15000"/>
            </a:spcAft>
            <a:buChar char="•"/>
          </a:pPr>
          <a:endParaRPr lang="en-IN" sz="900" kern="1200"/>
        </a:p>
      </dsp:txBody>
      <dsp:txXfrm>
        <a:off x="1111905" y="84911"/>
        <a:ext cx="772644" cy="601012"/>
      </dsp:txXfrm>
    </dsp:sp>
    <dsp:sp modelId="{5D995AA8-9627-4CC8-819A-D6672663A290}">
      <dsp:nvSpPr>
        <dsp:cNvPr id="0" name=""/>
        <dsp:cNvSpPr/>
      </dsp:nvSpPr>
      <dsp:spPr>
        <a:xfrm rot="5400000">
          <a:off x="1097551" y="1548849"/>
          <a:ext cx="631063" cy="718443"/>
        </a:xfrm>
        <a:prstGeom prst="bentUpArrow">
          <a:avLst>
            <a:gd name="adj1" fmla="val 32840"/>
            <a:gd name="adj2" fmla="val 25000"/>
            <a:gd name="adj3" fmla="val 35780"/>
          </a:avLst>
        </a:prstGeom>
        <a:solidFill>
          <a:schemeClr val="accent1">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CBA5D23B-A2E3-4E63-A681-E79FB03DBF23}">
      <dsp:nvSpPr>
        <dsp:cNvPr id="0" name=""/>
        <dsp:cNvSpPr/>
      </dsp:nvSpPr>
      <dsp:spPr>
        <a:xfrm>
          <a:off x="930358" y="849303"/>
          <a:ext cx="1062339" cy="743602"/>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lang="en-IN" sz="1200" kern="1200"/>
            <a:t>Development</a:t>
          </a:r>
        </a:p>
      </dsp:txBody>
      <dsp:txXfrm>
        <a:off x="966664" y="885609"/>
        <a:ext cx="989727" cy="670990"/>
      </dsp:txXfrm>
    </dsp:sp>
    <dsp:sp modelId="{6E849F6A-B600-4532-8FCA-CAF5FA8B2388}">
      <dsp:nvSpPr>
        <dsp:cNvPr id="0" name=""/>
        <dsp:cNvSpPr/>
      </dsp:nvSpPr>
      <dsp:spPr>
        <a:xfrm>
          <a:off x="1992697" y="920223"/>
          <a:ext cx="772644" cy="60101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57150" lvl="1" indent="-57150" algn="l" defTabSz="400050">
            <a:lnSpc>
              <a:spcPct val="90000"/>
            </a:lnSpc>
            <a:spcBef>
              <a:spcPct val="0"/>
            </a:spcBef>
            <a:spcAft>
              <a:spcPct val="15000"/>
            </a:spcAft>
            <a:buChar char="•"/>
          </a:pPr>
          <a:endParaRPr lang="en-IN" sz="900" kern="1200"/>
        </a:p>
      </dsp:txBody>
      <dsp:txXfrm>
        <a:off x="1992697" y="920223"/>
        <a:ext cx="772644" cy="601012"/>
      </dsp:txXfrm>
    </dsp:sp>
    <dsp:sp modelId="{4F14B723-E764-4498-AF66-CEDB96DA6F02}">
      <dsp:nvSpPr>
        <dsp:cNvPr id="0" name=""/>
        <dsp:cNvSpPr/>
      </dsp:nvSpPr>
      <dsp:spPr>
        <a:xfrm>
          <a:off x="1811150" y="1684614"/>
          <a:ext cx="1062339" cy="743602"/>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lang="en-IN" sz="1200" kern="1200"/>
            <a:t>Deploy</a:t>
          </a:r>
        </a:p>
      </dsp:txBody>
      <dsp:txXfrm>
        <a:off x="1847456" y="1720920"/>
        <a:ext cx="989727" cy="670990"/>
      </dsp:txXfrm>
    </dsp:sp>
    <dsp:sp modelId="{AE4E67D2-C758-4244-BC06-B74C52B928F4}">
      <dsp:nvSpPr>
        <dsp:cNvPr id="0" name=""/>
        <dsp:cNvSpPr/>
      </dsp:nvSpPr>
      <dsp:spPr>
        <a:xfrm>
          <a:off x="2873489" y="1755534"/>
          <a:ext cx="772644" cy="60101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1440" tIns="91440" rIns="91440" bIns="91440" numCol="1" spcCol="1270" anchor="ctr" anchorCtr="0">
          <a:noAutofit/>
        </a:bodyPr>
        <a:lstStyle/>
        <a:p>
          <a:pPr marL="171450" lvl="1" indent="-171450" algn="l" defTabSz="844550">
            <a:lnSpc>
              <a:spcPct val="90000"/>
            </a:lnSpc>
            <a:spcBef>
              <a:spcPct val="0"/>
            </a:spcBef>
            <a:spcAft>
              <a:spcPct val="15000"/>
            </a:spcAft>
            <a:buChar char="•"/>
          </a:pPr>
          <a:r>
            <a:rPr lang="en-IN" sz="1900" kern="1200"/>
            <a:t>End</a:t>
          </a:r>
        </a:p>
      </dsp:txBody>
      <dsp:txXfrm>
        <a:off x="2873489" y="1755534"/>
        <a:ext cx="772644" cy="601012"/>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editAs="absolute">
    <xdr:from>
      <xdr:col>9</xdr:col>
      <xdr:colOff>129540</xdr:colOff>
      <xdr:row>4</xdr:row>
      <xdr:rowOff>53340</xdr:rowOff>
    </xdr:from>
    <xdr:to>
      <xdr:col>12</xdr:col>
      <xdr:colOff>129540</xdr:colOff>
      <xdr:row>15</xdr:row>
      <xdr:rowOff>5715</xdr:rowOff>
    </xdr:to>
    <mc:AlternateContent xmlns:mc="http://schemas.openxmlformats.org/markup-compatibility/2006">
      <mc:Choice xmlns:sle15="http://schemas.microsoft.com/office/drawing/2012/slicer" Requires="sle15">
        <xdr:graphicFrame macro="">
          <xdr:nvGraphicFramePr>
            <xdr:cNvPr id="2" name="Subject">
              <a:extLst>
                <a:ext uri="{FF2B5EF4-FFF2-40B4-BE49-F238E27FC236}">
                  <a16:creationId xmlns:a16="http://schemas.microsoft.com/office/drawing/2014/main" id="{E214DF32-9167-5AA5-5CC5-E2E92A88C619}"/>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9669780" y="967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1645920</xdr:colOff>
      <xdr:row>8</xdr:row>
      <xdr:rowOff>76200</xdr:rowOff>
    </xdr:from>
    <xdr:to>
      <xdr:col>3</xdr:col>
      <xdr:colOff>228600</xdr:colOff>
      <xdr:row>12</xdr:row>
      <xdr:rowOff>175260</xdr:rowOff>
    </xdr:to>
    <xdr:sp macro="" textlink="">
      <xdr:nvSpPr>
        <xdr:cNvPr id="3" name="Rectangle 2">
          <a:extLst>
            <a:ext uri="{FF2B5EF4-FFF2-40B4-BE49-F238E27FC236}">
              <a16:creationId xmlns:a16="http://schemas.microsoft.com/office/drawing/2014/main" id="{C01B92D7-796E-008B-03CA-0D053F489637}"/>
            </a:ext>
          </a:extLst>
        </xdr:cNvPr>
        <xdr:cNvSpPr/>
      </xdr:nvSpPr>
      <xdr:spPr>
        <a:xfrm>
          <a:off x="2705100" y="3002280"/>
          <a:ext cx="1043940" cy="83058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327660</xdr:colOff>
      <xdr:row>3</xdr:row>
      <xdr:rowOff>160020</xdr:rowOff>
    </xdr:from>
    <xdr:to>
      <xdr:col>12</xdr:col>
      <xdr:colOff>365760</xdr:colOff>
      <xdr:row>13</xdr:row>
      <xdr:rowOff>41910</xdr:rowOff>
    </xdr:to>
    <xdr:graphicFrame macro="">
      <xdr:nvGraphicFramePr>
        <xdr:cNvPr id="4" name="Diagram 3">
          <a:extLst>
            <a:ext uri="{FF2B5EF4-FFF2-40B4-BE49-F238E27FC236}">
              <a16:creationId xmlns:a16="http://schemas.microsoft.com/office/drawing/2014/main" id="{EC828700-C9E4-7E84-8846-7CC404320A3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0DF82355-1DE4-4575-B899-1BAB36A99758}" sourceName="Subje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 xr10:uid="{CEB39ED6-5BE1-4FD1-B0F0-3BD78F365A5E}" cache="Slicer_Subject" caption="Subje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3CCFF7-E6AA-4735-BAB9-65C188000F46}" name="Table1" displayName="Table1" ref="A1:G18" totalsRowCount="1" headerRowDxfId="27" dataDxfId="26">
  <autoFilter ref="A1:G17" xr:uid="{B53CCFF7-E6AA-4735-BAB9-65C188000F46}"/>
  <tableColumns count="7">
    <tableColumn id="1" xr3:uid="{94559343-A11F-4F7F-BE32-C99A967B1DF8}" name="Roll No" totalsRowLabel="Total" dataDxfId="25" totalsRowDxfId="6"/>
    <tableColumn id="2" xr3:uid="{98A4B6A7-E4B9-4824-B2A0-C4098F471591}" name="Name" dataDxfId="24" totalsRowDxfId="5"/>
    <tableColumn id="3" xr3:uid="{3650A5C6-23D8-4319-A225-1BA9626E8DC3}" name="Subject" dataDxfId="23" totalsRowDxfId="4"/>
    <tableColumn id="4" xr3:uid="{F4AE113C-AA93-46D7-A9FE-18227672C582}" name="Marks" totalsRowFunction="sum" dataDxfId="22" totalsRowDxfId="3"/>
    <tableColumn id="5" xr3:uid="{5E4E2D3D-D860-4A83-8752-C032B30E3540}" name="Attendance %" totalsRowFunction="sum" dataDxfId="21" totalsRowDxfId="2"/>
    <tableColumn id="6" xr3:uid="{4E0617F5-0B7C-4986-A608-5B7B25DADA10}" name="Result" totalsRowFunction="sum" dataDxfId="20" totalsRowDxfId="1"/>
    <tableColumn id="7" xr3:uid="{A7E33153-A249-41E0-A5EC-95A0C2FE361C}" name="Marks2" totalsRowFunction="sum" dataDxfId="19" totalsRowDxfId="0"/>
  </tableColumns>
  <tableStyleInfo name="TableStyleMedium5" showFirstColumn="1" showLastColumn="1"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00949-2E2E-48AB-89C1-185FCE526E00}">
  <dimension ref="A1:L7"/>
  <sheetViews>
    <sheetView workbookViewId="0">
      <selection activeCell="L4" sqref="L4"/>
    </sheetView>
  </sheetViews>
  <sheetFormatPr defaultRowHeight="14.4" x14ac:dyDescent="0.3"/>
  <cols>
    <col min="5" max="5" width="10.44140625" style="10" bestFit="1" customWidth="1"/>
    <col min="6" max="6" width="8.88671875" style="13"/>
    <col min="9" max="9" width="13.77734375" customWidth="1"/>
    <col min="12" max="12" width="14.21875" customWidth="1"/>
  </cols>
  <sheetData>
    <row r="1" spans="1:12" ht="28.2" thickBot="1" x14ac:dyDescent="0.35">
      <c r="A1" s="3" t="s">
        <v>0</v>
      </c>
      <c r="B1" s="3" t="s">
        <v>1</v>
      </c>
      <c r="C1" s="3" t="s">
        <v>2</v>
      </c>
      <c r="D1" s="3" t="s">
        <v>3</v>
      </c>
      <c r="E1" s="8" t="s">
        <v>4</v>
      </c>
      <c r="F1" s="11" t="s">
        <v>5</v>
      </c>
      <c r="G1" s="3" t="s">
        <v>6</v>
      </c>
      <c r="H1" s="3" t="s">
        <v>7</v>
      </c>
      <c r="I1" s="3" t="s">
        <v>8</v>
      </c>
    </row>
    <row r="2" spans="1:12" ht="28.8" x14ac:dyDescent="0.3">
      <c r="A2" s="1">
        <v>101</v>
      </c>
      <c r="B2" s="1" t="s">
        <v>9</v>
      </c>
      <c r="C2" s="7" t="s">
        <v>10</v>
      </c>
      <c r="D2" s="4" t="s">
        <v>11</v>
      </c>
      <c r="E2" s="9">
        <v>25000</v>
      </c>
      <c r="F2" s="12">
        <v>20000</v>
      </c>
      <c r="G2" s="1">
        <v>5000</v>
      </c>
      <c r="H2" s="1" t="s">
        <v>12</v>
      </c>
      <c r="I2" s="2">
        <v>45455</v>
      </c>
    </row>
    <row r="3" spans="1:12" ht="28.8" x14ac:dyDescent="0.3">
      <c r="A3" s="1">
        <v>102</v>
      </c>
      <c r="B3" s="1" t="s">
        <v>13</v>
      </c>
      <c r="C3" s="7" t="s">
        <v>14</v>
      </c>
      <c r="D3" s="5" t="s">
        <v>15</v>
      </c>
      <c r="E3" s="9">
        <v>30000</v>
      </c>
      <c r="F3" s="12">
        <v>30000</v>
      </c>
      <c r="G3" s="1">
        <v>0</v>
      </c>
      <c r="H3" s="1" t="s">
        <v>16</v>
      </c>
      <c r="I3" s="2">
        <v>45430</v>
      </c>
    </row>
    <row r="4" spans="1:12" ht="28.8" x14ac:dyDescent="0.3">
      <c r="A4" s="1">
        <v>103</v>
      </c>
      <c r="B4" s="1" t="s">
        <v>17</v>
      </c>
      <c r="C4" s="7" t="s">
        <v>18</v>
      </c>
      <c r="D4" s="5" t="s">
        <v>19</v>
      </c>
      <c r="E4" s="9">
        <v>28000</v>
      </c>
      <c r="F4" s="12">
        <v>15000</v>
      </c>
      <c r="G4" s="1">
        <v>13000</v>
      </c>
      <c r="H4" s="1" t="s">
        <v>12</v>
      </c>
      <c r="I4" s="2">
        <v>45475</v>
      </c>
      <c r="L4" s="14">
        <v>1234666666</v>
      </c>
    </row>
    <row r="5" spans="1:12" ht="28.8" x14ac:dyDescent="0.3">
      <c r="A5" s="1">
        <v>104</v>
      </c>
      <c r="B5" s="1" t="s">
        <v>20</v>
      </c>
      <c r="C5" s="7" t="s">
        <v>21</v>
      </c>
      <c r="D5" s="5" t="s">
        <v>22</v>
      </c>
      <c r="E5" s="9">
        <v>32000</v>
      </c>
      <c r="F5" s="12">
        <v>32000</v>
      </c>
      <c r="G5" s="1">
        <v>0</v>
      </c>
      <c r="H5" s="1" t="s">
        <v>16</v>
      </c>
      <c r="I5" s="2">
        <v>45407</v>
      </c>
    </row>
    <row r="6" spans="1:12" ht="28.8" x14ac:dyDescent="0.3">
      <c r="A6" s="1">
        <v>105</v>
      </c>
      <c r="B6" s="1" t="s">
        <v>23</v>
      </c>
      <c r="C6" s="7" t="s">
        <v>10</v>
      </c>
      <c r="D6" s="5" t="s">
        <v>11</v>
      </c>
      <c r="E6" s="9">
        <v>25000</v>
      </c>
      <c r="F6" s="12">
        <v>10000</v>
      </c>
      <c r="G6" s="1">
        <v>15000</v>
      </c>
      <c r="H6" s="1" t="s">
        <v>12</v>
      </c>
      <c r="I6" s="2">
        <v>45458</v>
      </c>
    </row>
    <row r="7" spans="1:12" ht="29.4" thickBot="1" x14ac:dyDescent="0.35">
      <c r="A7" s="1">
        <v>106</v>
      </c>
      <c r="B7" s="1" t="s">
        <v>24</v>
      </c>
      <c r="C7" s="7" t="s">
        <v>14</v>
      </c>
      <c r="D7" s="6" t="s">
        <v>15</v>
      </c>
      <c r="E7" s="9">
        <v>30000</v>
      </c>
      <c r="F7" s="12">
        <v>28000</v>
      </c>
      <c r="G7" s="1">
        <v>2000</v>
      </c>
      <c r="H7" s="1" t="s">
        <v>25</v>
      </c>
      <c r="I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B0B20-3095-48EB-B679-08F461CCE739}">
  <dimension ref="A1:J12"/>
  <sheetViews>
    <sheetView workbookViewId="0">
      <selection activeCell="G5" sqref="G5"/>
    </sheetView>
  </sheetViews>
  <sheetFormatPr defaultRowHeight="18" x14ac:dyDescent="0.35"/>
  <cols>
    <col min="1" max="1" width="9" bestFit="1" customWidth="1"/>
    <col min="3" max="3" width="24.44140625" style="20" customWidth="1"/>
    <col min="4" max="4" width="18.21875" style="23" customWidth="1"/>
    <col min="5" max="5" width="13.44140625" customWidth="1"/>
    <col min="6" max="6" width="18.21875" style="29" customWidth="1"/>
    <col min="7" max="7" width="18.21875" style="27" customWidth="1"/>
    <col min="8" max="8" width="30.44140625" style="21" customWidth="1"/>
    <col min="9" max="9" width="16.33203125" customWidth="1"/>
    <col min="10" max="10" width="22.21875" customWidth="1"/>
  </cols>
  <sheetData>
    <row r="1" spans="1:10" x14ac:dyDescent="0.35">
      <c r="A1" s="16" t="s">
        <v>26</v>
      </c>
      <c r="B1" s="16" t="s">
        <v>27</v>
      </c>
      <c r="C1" s="20" t="s">
        <v>28</v>
      </c>
      <c r="D1" s="22" t="s">
        <v>29</v>
      </c>
      <c r="E1" s="16" t="s">
        <v>30</v>
      </c>
      <c r="F1" s="28" t="s">
        <v>31</v>
      </c>
      <c r="G1" s="26"/>
      <c r="H1" s="20" t="s">
        <v>32</v>
      </c>
      <c r="I1" s="16" t="s">
        <v>33</v>
      </c>
      <c r="J1" s="19" t="s">
        <v>34</v>
      </c>
    </row>
    <row r="2" spans="1:10" x14ac:dyDescent="0.35">
      <c r="A2" s="16">
        <v>1</v>
      </c>
      <c r="B2" s="16" t="s">
        <v>35</v>
      </c>
      <c r="C2" s="20">
        <v>37023</v>
      </c>
      <c r="D2" s="22">
        <v>45292</v>
      </c>
      <c r="E2" s="18">
        <v>0.38541666666666669</v>
      </c>
      <c r="F2" s="28">
        <v>0.77083333333333337</v>
      </c>
      <c r="G2" s="26">
        <f>F2-E2</f>
        <v>0.38541666666666669</v>
      </c>
      <c r="H2" s="20">
        <v>46068.447916666664</v>
      </c>
      <c r="I2" s="17">
        <v>46071</v>
      </c>
    </row>
    <row r="3" spans="1:10" x14ac:dyDescent="0.35">
      <c r="A3" s="16">
        <v>2</v>
      </c>
      <c r="B3" s="16" t="s">
        <v>36</v>
      </c>
      <c r="C3" s="20">
        <v>36855</v>
      </c>
      <c r="D3" s="22">
        <v>45000</v>
      </c>
      <c r="E3" s="18">
        <v>0.41666666666666669</v>
      </c>
      <c r="F3" s="28">
        <v>0.79861111111111116</v>
      </c>
      <c r="G3" s="26">
        <f>F3-E3</f>
        <v>0.38194444444444448</v>
      </c>
      <c r="H3" s="20">
        <v>46042.597222222219</v>
      </c>
      <c r="I3" s="17">
        <v>46044</v>
      </c>
    </row>
    <row r="4" spans="1:10" x14ac:dyDescent="0.35">
      <c r="A4" s="16">
        <v>3</v>
      </c>
      <c r="B4" s="16" t="s">
        <v>37</v>
      </c>
      <c r="C4" s="20">
        <v>37473</v>
      </c>
      <c r="D4" s="22">
        <v>44752</v>
      </c>
      <c r="E4" s="18">
        <v>0.36458333333333331</v>
      </c>
      <c r="F4" s="28">
        <v>0.74305555555555558</v>
      </c>
      <c r="G4" s="26">
        <f>F4-E4</f>
        <v>0.37847222222222227</v>
      </c>
      <c r="H4" s="20">
        <v>46054.375</v>
      </c>
      <c r="I4" s="17">
        <v>46056</v>
      </c>
    </row>
    <row r="5" spans="1:10" x14ac:dyDescent="0.35">
      <c r="A5" s="16">
        <v>4</v>
      </c>
      <c r="B5" s="16" t="s">
        <v>38</v>
      </c>
      <c r="C5" s="20">
        <v>36421</v>
      </c>
      <c r="D5" s="22">
        <v>44555</v>
      </c>
      <c r="E5" s="18">
        <v>0.39583333333333331</v>
      </c>
      <c r="F5" s="28">
        <v>0.75</v>
      </c>
      <c r="G5" s="26"/>
      <c r="H5" s="20">
        <v>46058.552083333336</v>
      </c>
      <c r="I5" s="25">
        <v>46061</v>
      </c>
      <c r="J5" t="s">
        <v>46</v>
      </c>
    </row>
    <row r="6" spans="1:10" x14ac:dyDescent="0.35">
      <c r="A6" s="16">
        <v>5</v>
      </c>
      <c r="B6" s="16" t="s">
        <v>39</v>
      </c>
      <c r="C6" s="20">
        <v>36921</v>
      </c>
      <c r="D6" s="22">
        <v>43996</v>
      </c>
      <c r="E6" s="18">
        <v>0.45833333333333331</v>
      </c>
      <c r="F6" s="28">
        <v>0.83333333333333337</v>
      </c>
      <c r="G6" s="26"/>
      <c r="H6" s="20">
        <v>46063.694444444445</v>
      </c>
      <c r="I6" s="17">
        <v>46065</v>
      </c>
    </row>
    <row r="7" spans="1:10" x14ac:dyDescent="0.35">
      <c r="A7" s="16">
        <v>6</v>
      </c>
      <c r="B7" s="16" t="s">
        <v>40</v>
      </c>
      <c r="C7" s="20">
        <v>37702</v>
      </c>
      <c r="D7" s="22">
        <v>45157</v>
      </c>
      <c r="E7" s="18">
        <v>0.38194444444444442</v>
      </c>
      <c r="F7" s="28">
        <v>0.78125</v>
      </c>
      <c r="G7" s="26"/>
      <c r="H7" s="20">
        <v>46065.479166666664</v>
      </c>
      <c r="I7" s="17">
        <v>46068</v>
      </c>
    </row>
    <row r="8" spans="1:10" x14ac:dyDescent="0.35">
      <c r="A8" s="16">
        <v>7</v>
      </c>
      <c r="B8" s="16" t="s">
        <v>41</v>
      </c>
      <c r="C8" s="20">
        <v>36721</v>
      </c>
      <c r="D8" s="22">
        <v>44683</v>
      </c>
      <c r="E8" s="18">
        <v>0.33333333333333331</v>
      </c>
      <c r="F8" s="28">
        <v>0.70833333333333337</v>
      </c>
      <c r="G8" s="26"/>
      <c r="H8" s="20">
        <v>46071.347222222219</v>
      </c>
      <c r="I8" s="17">
        <v>46073</v>
      </c>
    </row>
    <row r="9" spans="1:10" x14ac:dyDescent="0.35">
      <c r="A9" s="16">
        <v>8</v>
      </c>
      <c r="B9" s="16" t="s">
        <v>42</v>
      </c>
      <c r="C9" s="20">
        <v>36138</v>
      </c>
      <c r="D9" s="22">
        <v>43717</v>
      </c>
      <c r="E9" s="18">
        <v>0.4375</v>
      </c>
      <c r="F9" s="28">
        <v>0.80208333333333337</v>
      </c>
      <c r="G9" s="26"/>
      <c r="H9" s="20">
        <v>46075.631944444445</v>
      </c>
      <c r="I9" s="17">
        <v>46078</v>
      </c>
    </row>
    <row r="10" spans="1:10" x14ac:dyDescent="0.35">
      <c r="A10" s="16">
        <v>9</v>
      </c>
      <c r="B10" s="16" t="s">
        <v>43</v>
      </c>
      <c r="C10" s="20">
        <v>37408</v>
      </c>
      <c r="D10" s="22">
        <v>44521</v>
      </c>
      <c r="E10" s="18">
        <v>0.375</v>
      </c>
      <c r="F10" s="28">
        <v>0.75694444444444442</v>
      </c>
      <c r="G10" s="26"/>
      <c r="H10" s="20">
        <v>46078.5</v>
      </c>
      <c r="I10" s="17">
        <v>46081</v>
      </c>
    </row>
    <row r="11" spans="1:10" x14ac:dyDescent="0.35">
      <c r="A11" s="16">
        <v>10</v>
      </c>
      <c r="B11" s="16" t="s">
        <v>44</v>
      </c>
      <c r="C11" s="20">
        <v>36444</v>
      </c>
      <c r="D11" s="22">
        <v>43860</v>
      </c>
      <c r="E11" s="18">
        <v>0.36805555555555558</v>
      </c>
      <c r="F11" s="28">
        <v>0.73611111111111116</v>
      </c>
      <c r="G11" s="26"/>
      <c r="H11" s="20">
        <v>46082.40625</v>
      </c>
      <c r="I11" s="17">
        <v>46085</v>
      </c>
    </row>
    <row r="12" spans="1:10" ht="21" x14ac:dyDescent="0.4">
      <c r="C12" s="20">
        <v>42287</v>
      </c>
      <c r="D12" s="24" t="s">
        <v>45</v>
      </c>
      <c r="F12" s="29"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38B2-7D4A-4217-93C4-F170E057D24F}">
  <dimension ref="A1:J16"/>
  <sheetViews>
    <sheetView workbookViewId="0">
      <selection activeCell="G16" sqref="A1:G16"/>
    </sheetView>
  </sheetViews>
  <sheetFormatPr defaultRowHeight="14.4" x14ac:dyDescent="0.3"/>
  <cols>
    <col min="1" max="2" width="8.88671875" style="15"/>
    <col min="3" max="3" width="8.88671875" style="15" customWidth="1"/>
    <col min="4" max="4" width="8.88671875" style="15"/>
    <col min="5" max="5" width="17" style="15" customWidth="1"/>
    <col min="6" max="6" width="15" style="15" customWidth="1"/>
    <col min="7" max="10" width="8.88671875" style="15"/>
  </cols>
  <sheetData>
    <row r="1" spans="1:8" ht="18" x14ac:dyDescent="0.35">
      <c r="A1" s="30" t="s">
        <v>0</v>
      </c>
      <c r="B1" s="30" t="s">
        <v>27</v>
      </c>
      <c r="C1" s="30" t="s">
        <v>48</v>
      </c>
      <c r="D1" s="30" t="s">
        <v>49</v>
      </c>
      <c r="E1" s="30" t="s">
        <v>50</v>
      </c>
      <c r="F1" s="30" t="s">
        <v>51</v>
      </c>
      <c r="G1" s="30" t="s">
        <v>49</v>
      </c>
      <c r="H1" s="31"/>
    </row>
    <row r="2" spans="1:8" ht="18" x14ac:dyDescent="0.35">
      <c r="A2" s="16">
        <v>1</v>
      </c>
      <c r="B2" s="16" t="s">
        <v>35</v>
      </c>
      <c r="C2" s="16" t="s">
        <v>52</v>
      </c>
      <c r="D2" s="16">
        <v>92</v>
      </c>
      <c r="E2" s="16">
        <v>95</v>
      </c>
      <c r="F2" s="16" t="s">
        <v>53</v>
      </c>
      <c r="G2" s="16">
        <v>92</v>
      </c>
    </row>
    <row r="3" spans="1:8" ht="18" x14ac:dyDescent="0.35">
      <c r="A3" s="16">
        <v>2</v>
      </c>
      <c r="B3" s="16" t="s">
        <v>36</v>
      </c>
      <c r="C3" s="16" t="s">
        <v>15</v>
      </c>
      <c r="D3" s="16">
        <v>45</v>
      </c>
      <c r="E3" s="16">
        <v>60</v>
      </c>
      <c r="F3" s="16" t="s">
        <v>54</v>
      </c>
      <c r="G3" s="16">
        <v>45</v>
      </c>
    </row>
    <row r="4" spans="1:8" ht="18" x14ac:dyDescent="0.35">
      <c r="A4" s="16">
        <v>3</v>
      </c>
      <c r="B4" s="16" t="s">
        <v>37</v>
      </c>
      <c r="C4" s="16" t="s">
        <v>55</v>
      </c>
      <c r="D4" s="16">
        <v>78</v>
      </c>
      <c r="E4" s="16">
        <v>88</v>
      </c>
      <c r="F4" s="16" t="s">
        <v>53</v>
      </c>
      <c r="G4" s="16">
        <v>78</v>
      </c>
    </row>
    <row r="5" spans="1:8" ht="18" x14ac:dyDescent="0.35">
      <c r="A5" s="16">
        <v>4</v>
      </c>
      <c r="B5" s="16" t="s">
        <v>38</v>
      </c>
      <c r="C5" s="16" t="s">
        <v>52</v>
      </c>
      <c r="D5" s="16">
        <v>33</v>
      </c>
      <c r="E5" s="16">
        <v>55</v>
      </c>
      <c r="F5" s="16" t="s">
        <v>54</v>
      </c>
      <c r="G5" s="16">
        <v>33</v>
      </c>
    </row>
    <row r="6" spans="1:8" ht="18" x14ac:dyDescent="0.35">
      <c r="A6" s="16">
        <v>5</v>
      </c>
      <c r="B6" s="16" t="s">
        <v>39</v>
      </c>
      <c r="C6" s="16" t="s">
        <v>15</v>
      </c>
      <c r="D6" s="16">
        <v>66</v>
      </c>
      <c r="E6" s="16">
        <v>72</v>
      </c>
      <c r="F6" s="16" t="s">
        <v>53</v>
      </c>
      <c r="G6" s="16">
        <v>66</v>
      </c>
    </row>
    <row r="7" spans="1:8" ht="18" x14ac:dyDescent="0.35">
      <c r="A7" s="16">
        <v>6</v>
      </c>
      <c r="B7" s="16" t="s">
        <v>40</v>
      </c>
      <c r="C7" s="16" t="s">
        <v>55</v>
      </c>
      <c r="D7" s="16">
        <v>25</v>
      </c>
      <c r="E7" s="16">
        <v>40</v>
      </c>
      <c r="F7" s="16" t="s">
        <v>54</v>
      </c>
      <c r="G7" s="16">
        <v>25</v>
      </c>
    </row>
    <row r="8" spans="1:8" ht="18" x14ac:dyDescent="0.35">
      <c r="A8" s="16">
        <v>7</v>
      </c>
      <c r="B8" s="16" t="s">
        <v>41</v>
      </c>
      <c r="C8" s="16" t="s">
        <v>52</v>
      </c>
      <c r="D8" s="16">
        <v>88</v>
      </c>
      <c r="E8" s="16">
        <v>90</v>
      </c>
      <c r="F8" s="16" t="s">
        <v>53</v>
      </c>
      <c r="G8" s="16">
        <v>88</v>
      </c>
    </row>
    <row r="9" spans="1:8" ht="18" x14ac:dyDescent="0.35">
      <c r="A9" s="16">
        <v>8</v>
      </c>
      <c r="B9" s="16" t="s">
        <v>42</v>
      </c>
      <c r="C9" s="16" t="s">
        <v>15</v>
      </c>
      <c r="D9" s="16">
        <v>50</v>
      </c>
      <c r="E9" s="16">
        <v>65</v>
      </c>
      <c r="F9" s="16" t="s">
        <v>53</v>
      </c>
      <c r="G9" s="16">
        <v>50</v>
      </c>
    </row>
    <row r="10" spans="1:8" ht="18" x14ac:dyDescent="0.35">
      <c r="A10" s="16">
        <v>9</v>
      </c>
      <c r="B10" s="16" t="s">
        <v>43</v>
      </c>
      <c r="C10" s="16" t="s">
        <v>55</v>
      </c>
      <c r="D10" s="16">
        <v>39</v>
      </c>
      <c r="E10" s="16">
        <v>48</v>
      </c>
      <c r="F10" s="16" t="s">
        <v>54</v>
      </c>
      <c r="G10" s="16">
        <v>39</v>
      </c>
    </row>
    <row r="11" spans="1:8" ht="18" x14ac:dyDescent="0.35">
      <c r="A11" s="16">
        <v>10</v>
      </c>
      <c r="B11" s="16" t="s">
        <v>44</v>
      </c>
      <c r="C11" s="16" t="s">
        <v>52</v>
      </c>
      <c r="D11" s="16">
        <v>99</v>
      </c>
      <c r="E11" s="16">
        <v>98</v>
      </c>
      <c r="F11" s="16" t="s">
        <v>53</v>
      </c>
      <c r="G11" s="16">
        <v>99</v>
      </c>
    </row>
    <row r="12" spans="1:8" ht="18" x14ac:dyDescent="0.35">
      <c r="A12" s="16">
        <v>11</v>
      </c>
      <c r="B12" s="16" t="s">
        <v>56</v>
      </c>
      <c r="C12" s="16" t="s">
        <v>15</v>
      </c>
      <c r="D12" s="16">
        <v>72</v>
      </c>
      <c r="E12" s="16">
        <v>80</v>
      </c>
      <c r="F12" s="16" t="s">
        <v>53</v>
      </c>
      <c r="G12" s="16">
        <v>72</v>
      </c>
    </row>
    <row r="13" spans="1:8" ht="18" x14ac:dyDescent="0.35">
      <c r="A13" s="16">
        <v>12</v>
      </c>
      <c r="B13" s="16" t="s">
        <v>57</v>
      </c>
      <c r="C13" s="16" t="s">
        <v>55</v>
      </c>
      <c r="D13" s="16">
        <v>30</v>
      </c>
      <c r="E13" s="16">
        <v>50</v>
      </c>
      <c r="F13" s="16" t="s">
        <v>54</v>
      </c>
      <c r="G13" s="16">
        <v>30</v>
      </c>
    </row>
    <row r="14" spans="1:8" ht="18" x14ac:dyDescent="0.35">
      <c r="A14" s="16">
        <v>13</v>
      </c>
      <c r="B14" s="16" t="s">
        <v>58</v>
      </c>
      <c r="C14" s="16" t="s">
        <v>52</v>
      </c>
      <c r="D14" s="16">
        <v>58</v>
      </c>
      <c r="E14" s="16">
        <v>75</v>
      </c>
      <c r="F14" s="16" t="s">
        <v>53</v>
      </c>
      <c r="G14" s="16">
        <v>58</v>
      </c>
    </row>
    <row r="15" spans="1:8" ht="18" x14ac:dyDescent="0.35">
      <c r="A15" s="16">
        <v>14</v>
      </c>
      <c r="B15" s="16" t="s">
        <v>59</v>
      </c>
      <c r="C15" s="16" t="s">
        <v>15</v>
      </c>
      <c r="D15" s="16">
        <v>84</v>
      </c>
      <c r="E15" s="16">
        <v>92</v>
      </c>
      <c r="F15" s="16" t="s">
        <v>53</v>
      </c>
      <c r="G15" s="16">
        <v>84</v>
      </c>
    </row>
    <row r="16" spans="1:8" ht="18" x14ac:dyDescent="0.35">
      <c r="A16" s="16">
        <v>15</v>
      </c>
      <c r="B16" s="16" t="s">
        <v>60</v>
      </c>
      <c r="C16" s="16" t="s">
        <v>55</v>
      </c>
      <c r="D16" s="16">
        <v>41</v>
      </c>
      <c r="E16" s="16">
        <v>68</v>
      </c>
      <c r="F16" s="16" t="s">
        <v>53</v>
      </c>
      <c r="G16" s="16">
        <v>41</v>
      </c>
    </row>
  </sheetData>
  <conditionalFormatting sqref="D2:D16">
    <cfRule type="cellIs" dxfId="18" priority="4" operator="greaterThan">
      <formula>85</formula>
    </cfRule>
  </conditionalFormatting>
  <conditionalFormatting sqref="E2:E16">
    <cfRule type="cellIs" dxfId="17" priority="3" operator="lessThan">
      <formula>69</formula>
    </cfRule>
  </conditionalFormatting>
  <conditionalFormatting sqref="F2:F16">
    <cfRule type="top10" dxfId="16" priority="2" rank="10"/>
  </conditionalFormatting>
  <conditionalFormatting sqref="G2:G16">
    <cfRule type="cellIs" dxfId="15" priority="1" operator="greaterThan">
      <formula>85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720A5-3451-48D9-9A5F-9AB305E2513D}">
  <dimension ref="A1:G18"/>
  <sheetViews>
    <sheetView workbookViewId="0">
      <selection activeCell="C1" sqref="C1"/>
    </sheetView>
  </sheetViews>
  <sheetFormatPr defaultRowHeight="14.4" x14ac:dyDescent="0.3"/>
  <cols>
    <col min="1" max="1" width="18.33203125" customWidth="1"/>
    <col min="2" max="2" width="16.44140625" customWidth="1"/>
    <col min="3" max="3" width="14" customWidth="1"/>
    <col min="4" max="5" width="21.44140625" customWidth="1"/>
    <col min="6" max="6" width="14.21875" customWidth="1"/>
    <col min="7" max="7" width="15.44140625" customWidth="1"/>
  </cols>
  <sheetData>
    <row r="1" spans="1:7" ht="18" x14ac:dyDescent="0.35">
      <c r="A1" s="32" t="s">
        <v>0</v>
      </c>
      <c r="B1" s="32" t="s">
        <v>27</v>
      </c>
      <c r="C1" s="32" t="s">
        <v>48</v>
      </c>
      <c r="D1" s="32" t="s">
        <v>49</v>
      </c>
      <c r="E1" s="32" t="s">
        <v>50</v>
      </c>
      <c r="F1" s="32" t="s">
        <v>51</v>
      </c>
      <c r="G1" s="32" t="s">
        <v>61</v>
      </c>
    </row>
    <row r="2" spans="1:7" ht="18" x14ac:dyDescent="0.35">
      <c r="A2" s="16">
        <v>1</v>
      </c>
      <c r="B2" s="16" t="s">
        <v>35</v>
      </c>
      <c r="C2" s="16" t="s">
        <v>52</v>
      </c>
      <c r="D2" s="16">
        <v>92</v>
      </c>
      <c r="E2" s="16">
        <v>95</v>
      </c>
      <c r="F2" s="16" t="s">
        <v>53</v>
      </c>
      <c r="G2" s="16">
        <v>92</v>
      </c>
    </row>
    <row r="3" spans="1:7" ht="18" x14ac:dyDescent="0.35">
      <c r="A3" s="16">
        <v>2</v>
      </c>
      <c r="B3" s="16" t="s">
        <v>36</v>
      </c>
      <c r="C3" s="16" t="s">
        <v>15</v>
      </c>
      <c r="D3" s="16">
        <v>45</v>
      </c>
      <c r="E3" s="16">
        <v>60</v>
      </c>
      <c r="F3" s="16" t="s">
        <v>54</v>
      </c>
      <c r="G3" s="16">
        <v>45</v>
      </c>
    </row>
    <row r="4" spans="1:7" ht="18" x14ac:dyDescent="0.35">
      <c r="A4" s="16">
        <v>3</v>
      </c>
      <c r="B4" s="16" t="s">
        <v>37</v>
      </c>
      <c r="C4" s="16" t="s">
        <v>55</v>
      </c>
      <c r="D4" s="16">
        <v>78</v>
      </c>
      <c r="E4" s="16">
        <v>88</v>
      </c>
      <c r="F4" s="16" t="s">
        <v>53</v>
      </c>
      <c r="G4" s="16">
        <v>78</v>
      </c>
    </row>
    <row r="5" spans="1:7" ht="18" x14ac:dyDescent="0.35">
      <c r="A5" s="16">
        <v>4</v>
      </c>
      <c r="B5" s="16" t="s">
        <v>38</v>
      </c>
      <c r="C5" s="16" t="s">
        <v>52</v>
      </c>
      <c r="D5" s="16">
        <v>33</v>
      </c>
      <c r="E5" s="16">
        <v>55</v>
      </c>
      <c r="F5" s="16" t="s">
        <v>54</v>
      </c>
      <c r="G5" s="16">
        <v>33</v>
      </c>
    </row>
    <row r="6" spans="1:7" ht="18" x14ac:dyDescent="0.35">
      <c r="A6" s="16">
        <v>5</v>
      </c>
      <c r="B6" s="16" t="s">
        <v>39</v>
      </c>
      <c r="C6" s="16" t="s">
        <v>15</v>
      </c>
      <c r="D6" s="16">
        <v>66</v>
      </c>
      <c r="E6" s="16">
        <v>72</v>
      </c>
      <c r="F6" s="16" t="s">
        <v>53</v>
      </c>
      <c r="G6" s="16">
        <v>66</v>
      </c>
    </row>
    <row r="7" spans="1:7" ht="18" x14ac:dyDescent="0.35">
      <c r="A7" s="16">
        <v>6</v>
      </c>
      <c r="B7" s="16" t="s">
        <v>40</v>
      </c>
      <c r="C7" s="16" t="s">
        <v>55</v>
      </c>
      <c r="D7" s="16">
        <v>25</v>
      </c>
      <c r="E7" s="16">
        <v>40</v>
      </c>
      <c r="F7" s="16" t="s">
        <v>54</v>
      </c>
      <c r="G7" s="16">
        <v>25</v>
      </c>
    </row>
    <row r="8" spans="1:7" ht="18" x14ac:dyDescent="0.35">
      <c r="A8" s="16">
        <v>7</v>
      </c>
      <c r="B8" s="16" t="s">
        <v>41</v>
      </c>
      <c r="C8" s="16" t="s">
        <v>52</v>
      </c>
      <c r="D8" s="16">
        <v>88</v>
      </c>
      <c r="E8" s="16">
        <v>90</v>
      </c>
      <c r="F8" s="16" t="s">
        <v>53</v>
      </c>
      <c r="G8" s="16">
        <v>88</v>
      </c>
    </row>
    <row r="9" spans="1:7" ht="18" x14ac:dyDescent="0.35">
      <c r="A9" s="16">
        <v>8</v>
      </c>
      <c r="B9" s="16" t="s">
        <v>42</v>
      </c>
      <c r="C9" s="16" t="s">
        <v>15</v>
      </c>
      <c r="D9" s="16">
        <v>50</v>
      </c>
      <c r="E9" s="16">
        <v>65</v>
      </c>
      <c r="F9" s="16" t="s">
        <v>53</v>
      </c>
      <c r="G9" s="16">
        <v>50</v>
      </c>
    </row>
    <row r="10" spans="1:7" ht="18" x14ac:dyDescent="0.35">
      <c r="A10" s="16">
        <v>9</v>
      </c>
      <c r="B10" s="16" t="s">
        <v>43</v>
      </c>
      <c r="C10" s="16" t="s">
        <v>55</v>
      </c>
      <c r="D10" s="16">
        <v>39</v>
      </c>
      <c r="E10" s="16">
        <v>48</v>
      </c>
      <c r="F10" s="16" t="s">
        <v>54</v>
      </c>
      <c r="G10" s="16">
        <v>39</v>
      </c>
    </row>
    <row r="11" spans="1:7" ht="18" x14ac:dyDescent="0.35">
      <c r="A11" s="16">
        <v>10</v>
      </c>
      <c r="B11" s="16" t="s">
        <v>44</v>
      </c>
      <c r="C11" s="16" t="s">
        <v>52</v>
      </c>
      <c r="D11" s="16">
        <v>99</v>
      </c>
      <c r="E11" s="16">
        <v>98</v>
      </c>
      <c r="F11" s="16" t="s">
        <v>53</v>
      </c>
      <c r="G11" s="16">
        <v>99</v>
      </c>
    </row>
    <row r="12" spans="1:7" ht="18" x14ac:dyDescent="0.35">
      <c r="A12" s="16">
        <v>11</v>
      </c>
      <c r="B12" s="16" t="s">
        <v>56</v>
      </c>
      <c r="C12" s="16" t="s">
        <v>15</v>
      </c>
      <c r="D12" s="16">
        <v>72</v>
      </c>
      <c r="E12" s="16">
        <v>80</v>
      </c>
      <c r="F12" s="16" t="s">
        <v>53</v>
      </c>
      <c r="G12" s="16">
        <v>72</v>
      </c>
    </row>
    <row r="13" spans="1:7" ht="18" x14ac:dyDescent="0.35">
      <c r="A13" s="16">
        <v>12</v>
      </c>
      <c r="B13" s="16" t="s">
        <v>57</v>
      </c>
      <c r="C13" s="16" t="s">
        <v>55</v>
      </c>
      <c r="D13" s="16">
        <v>30</v>
      </c>
      <c r="E13" s="16">
        <v>50</v>
      </c>
      <c r="F13" s="16" t="s">
        <v>54</v>
      </c>
      <c r="G13" s="16">
        <v>30</v>
      </c>
    </row>
    <row r="14" spans="1:7" ht="18" x14ac:dyDescent="0.35">
      <c r="A14" s="16">
        <v>13</v>
      </c>
      <c r="B14" s="16" t="s">
        <v>58</v>
      </c>
      <c r="C14" s="16" t="s">
        <v>52</v>
      </c>
      <c r="D14" s="16">
        <v>58</v>
      </c>
      <c r="E14" s="16">
        <v>75</v>
      </c>
      <c r="F14" s="16" t="s">
        <v>53</v>
      </c>
      <c r="G14" s="16">
        <v>58</v>
      </c>
    </row>
    <row r="15" spans="1:7" ht="18" x14ac:dyDescent="0.35">
      <c r="A15" s="16">
        <v>14</v>
      </c>
      <c r="B15" s="16" t="s">
        <v>59</v>
      </c>
      <c r="C15" s="16" t="s">
        <v>15</v>
      </c>
      <c r="D15" s="16">
        <v>84</v>
      </c>
      <c r="E15" s="16">
        <v>92</v>
      </c>
      <c r="F15" s="16" t="s">
        <v>53</v>
      </c>
      <c r="G15" s="16">
        <v>84</v>
      </c>
    </row>
    <row r="16" spans="1:7" ht="18" x14ac:dyDescent="0.35">
      <c r="A16" s="16">
        <v>15</v>
      </c>
      <c r="B16" s="16" t="s">
        <v>60</v>
      </c>
      <c r="C16" s="16" t="s">
        <v>55</v>
      </c>
      <c r="D16" s="16">
        <v>41</v>
      </c>
      <c r="E16" s="16">
        <v>68</v>
      </c>
      <c r="F16" s="16" t="s">
        <v>53</v>
      </c>
      <c r="G16" s="16">
        <v>41</v>
      </c>
    </row>
    <row r="17" spans="1:7" ht="18" x14ac:dyDescent="0.35">
      <c r="A17" s="16"/>
      <c r="B17" s="16" t="s">
        <v>35</v>
      </c>
      <c r="C17" s="16"/>
      <c r="D17" s="16"/>
      <c r="E17" s="16"/>
      <c r="F17" s="16"/>
      <c r="G17" s="16"/>
    </row>
    <row r="18" spans="1:7" ht="18" x14ac:dyDescent="0.35">
      <c r="A18" s="16" t="s">
        <v>62</v>
      </c>
      <c r="B18" s="16"/>
      <c r="C18" s="16"/>
      <c r="D18" s="16">
        <f>SUBTOTAL(109,Table1[Marks])</f>
        <v>900</v>
      </c>
      <c r="E18" s="16">
        <f>SUBTOTAL(109,Table1[Attendance %])</f>
        <v>1076</v>
      </c>
      <c r="F18" s="16">
        <f>SUBTOTAL(109,Table1[Result])</f>
        <v>0</v>
      </c>
      <c r="G18" s="16">
        <f>SUBTOTAL(109,Table1[Marks2])</f>
        <v>900</v>
      </c>
    </row>
  </sheetData>
  <conditionalFormatting sqref="D2:D17">
    <cfRule type="cellIs" dxfId="10" priority="4" operator="greaterThan">
      <formula>85</formula>
    </cfRule>
  </conditionalFormatting>
  <conditionalFormatting sqref="E2:E17">
    <cfRule type="cellIs" dxfId="9" priority="3" operator="lessThan">
      <formula>69</formula>
    </cfRule>
  </conditionalFormatting>
  <conditionalFormatting sqref="F2:F17">
    <cfRule type="top10" dxfId="8" priority="2" rank="10"/>
  </conditionalFormatting>
  <conditionalFormatting sqref="G2:G17">
    <cfRule type="cellIs" dxfId="7" priority="1" operator="greaterThan">
      <formula>85</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B2CE-08B3-4479-B873-3A1DA23C8AE9}">
  <dimension ref="A1:B5"/>
  <sheetViews>
    <sheetView tabSelected="1" workbookViewId="0">
      <selection activeCell="N3" sqref="N3"/>
    </sheetView>
  </sheetViews>
  <sheetFormatPr defaultRowHeight="14.4" x14ac:dyDescent="0.3"/>
  <cols>
    <col min="1" max="1" width="15.44140625" customWidth="1"/>
    <col min="2" max="2" width="27" customWidth="1"/>
  </cols>
  <sheetData>
    <row r="1" spans="1:2" x14ac:dyDescent="0.3">
      <c r="A1" s="33" t="s">
        <v>63</v>
      </c>
      <c r="B1" s="33" t="s">
        <v>64</v>
      </c>
    </row>
    <row r="2" spans="1:2" ht="43.2" x14ac:dyDescent="0.3">
      <c r="A2" s="1" t="s">
        <v>65</v>
      </c>
      <c r="B2" s="1" t="s">
        <v>66</v>
      </c>
    </row>
    <row r="3" spans="1:2" ht="43.2" x14ac:dyDescent="0.3">
      <c r="A3" s="1" t="s">
        <v>67</v>
      </c>
      <c r="B3" s="1" t="s">
        <v>68</v>
      </c>
    </row>
    <row r="4" spans="1:2" ht="43.2" x14ac:dyDescent="0.3">
      <c r="A4" s="1" t="s">
        <v>69</v>
      </c>
      <c r="B4" s="1" t="s">
        <v>70</v>
      </c>
    </row>
    <row r="5" spans="1:2" ht="43.2" x14ac:dyDescent="0.3">
      <c r="A5" s="1" t="s">
        <v>71</v>
      </c>
      <c r="B5" s="1" t="s">
        <v>72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date and time</vt:lpstr>
      <vt:lpstr>conditional formating</vt:lpstr>
      <vt:lpstr>Sheet4</vt:lpstr>
      <vt:lpstr>shapes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gujre</dc:creator>
  <cp:lastModifiedBy>ankit gujre</cp:lastModifiedBy>
  <dcterms:created xsi:type="dcterms:W3CDTF">2026-02-11T18:23:16Z</dcterms:created>
  <dcterms:modified xsi:type="dcterms:W3CDTF">2026-02-12T06:21:47Z</dcterms:modified>
</cp:coreProperties>
</file>